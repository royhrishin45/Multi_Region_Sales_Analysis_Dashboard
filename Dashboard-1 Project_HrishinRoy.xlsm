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pivotTables/pivotTable1.xml" ContentType="application/vnd.openxmlformats-officedocument.spreadsheetml.pivotTable+xml"/>
  <Override PartName="/xl/drawings/drawing2.xml" ContentType="application/vnd.openxmlformats-officedocument.drawing+xml"/>
  <Override PartName="/xl/charts/chart5.xml" ContentType="application/vnd.openxmlformats-officedocument.drawingml.chart+xml"/>
  <Override PartName="/xl/pivotTables/pivotTable2.xml" ContentType="application/vnd.openxmlformats-officedocument.spreadsheetml.pivotTable+xml"/>
  <Override PartName="/xl/drawings/drawing3.xml" ContentType="application/vnd.openxmlformats-officedocument.drawing+xml"/>
  <Override PartName="/xl/charts/chart6.xml" ContentType="application/vnd.openxmlformats-officedocument.drawingml.chart+xml"/>
  <Override PartName="/xl/pivotTables/pivotTable3.xml" ContentType="application/vnd.openxmlformats-officedocument.spreadsheetml.pivotTable+xml"/>
  <Override PartName="/xl/drawings/drawing4.xml" ContentType="application/vnd.openxmlformats-officedocument.drawing+xml"/>
  <Override PartName="/xl/charts/chart7.xml" ContentType="application/vnd.openxmlformats-officedocument.drawingml.chart+xml"/>
  <Override PartName="/xl/pivotTables/pivotTable4.xml" ContentType="application/vnd.openxmlformats-officedocument.spreadsheetml.pivotTable+xml"/>
  <Override PartName="/xl/drawings/drawing5.xml" ContentType="application/vnd.openxmlformats-officedocument.drawing+xml"/>
  <Override PartName="/xl/charts/chart8.xml" ContentType="application/vnd.openxmlformats-officedocument.drawingml.chart+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bookViews>
    <workbookView xWindow="0" yWindow="0" windowWidth="20490" windowHeight="7620" tabRatio="775"/>
  </bookViews>
  <sheets>
    <sheet name="Dashboard" sheetId="6" r:id="rId1"/>
    <sheet name="RPT (4)" sheetId="35" r:id="rId2"/>
    <sheet name="RPT (3)" sheetId="34" r:id="rId3"/>
    <sheet name="RPT (2)" sheetId="33" r:id="rId4"/>
    <sheet name="RPT" sheetId="36" r:id="rId5"/>
    <sheet name="Data" sheetId="5" r:id="rId6"/>
    <sheet name="East" sheetId="1" r:id="rId7"/>
    <sheet name="West" sheetId="2" r:id="rId8"/>
    <sheet name="South" sheetId="3" r:id="rId9"/>
    <sheet name="North" sheetId="4" r:id="rId10"/>
    <sheet name="Info" sheetId="20" r:id="rId11"/>
  </sheets>
  <definedNames>
    <definedName name="_xlnm._FilterDatabase" localSheetId="9" hidden="1">North!$A$1:$H$11</definedName>
    <definedName name="_xlnm._FilterDatabase" localSheetId="8" hidden="1">South!$A$1:$H$11</definedName>
    <definedName name="_xlcn.WorksheetConnection_DashboardPune2.xlsxEast1" hidden="1">East!$A$1:$H$11</definedName>
    <definedName name="_xlcn.WorksheetConnection_DashboardPune2.xlsxWest1" hidden="1">West!$A$1:$H$11</definedName>
    <definedName name="Slicer_Area">#N/A</definedName>
    <definedName name="Slicer_Date">#N/A</definedName>
    <definedName name="Slicer_Name">#N/A</definedName>
    <definedName name="Slicer_Product">#N/A</definedName>
  </definedNames>
  <calcPr calcId="144525"/>
  <pivotCaches>
    <pivotCache cacheId="0" r:id="rId12"/>
  </pivotCaches>
  <extLst>
    <ext xmlns:x14="http://schemas.microsoft.com/office/spreadsheetml/2009/9/main" uri="{BBE1A952-AA13-448e-AADC-164F8A28A991}">
      <x14:slicerCaches>
        <x14:slicerCache r:id="rId13"/>
        <x14:slicerCache r:id="rId14"/>
        <x14:slicerCache r:id="rId15"/>
        <x14:slicerCache r:id="rId1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West" name="West" connection="WorksheetConnection_Dashboard Pune2.xlsx!West"/>
          <x15:modelTable id="East" name="East" connection="WorksheetConnection_Dashboard Pune2.xlsx!East"/>
        </x15:modelTables>
      </x15:dataModel>
    </ext>
  </extLst>
</workbook>
</file>

<file path=xl/calcChain.xml><?xml version="1.0" encoding="utf-8"?>
<calcChain xmlns="http://schemas.openxmlformats.org/spreadsheetml/2006/main">
  <c r="H82" i="5" l="1"/>
  <c r="H81" i="5"/>
  <c r="H80" i="5"/>
  <c r="H79" i="5"/>
  <c r="H78" i="5"/>
  <c r="H77" i="5"/>
  <c r="H76" i="5"/>
  <c r="H75" i="5"/>
  <c r="H74" i="5"/>
  <c r="H73" i="5"/>
  <c r="H72" i="5"/>
  <c r="H71" i="5"/>
  <c r="H70" i="5"/>
  <c r="H69" i="5"/>
  <c r="H68" i="5"/>
  <c r="H67" i="5"/>
  <c r="H66" i="5"/>
  <c r="H65" i="5"/>
  <c r="H64" i="5"/>
  <c r="H63" i="5"/>
  <c r="H62" i="5"/>
  <c r="H61" i="5"/>
  <c r="H60" i="5"/>
  <c r="H59" i="5"/>
  <c r="H58" i="5"/>
  <c r="H57" i="5"/>
  <c r="H56" i="5"/>
  <c r="H55" i="5"/>
  <c r="H54" i="5"/>
  <c r="H53" i="5"/>
  <c r="H52" i="5"/>
  <c r="H51" i="5"/>
  <c r="H50" i="5"/>
  <c r="H49" i="5"/>
  <c r="H48" i="5"/>
  <c r="H47" i="5"/>
  <c r="H46" i="5"/>
  <c r="H45" i="5"/>
  <c r="H44" i="5"/>
  <c r="H43" i="5"/>
  <c r="H42" i="5"/>
  <c r="H41" i="5"/>
  <c r="H40" i="5"/>
  <c r="H39" i="5"/>
  <c r="H38" i="5"/>
  <c r="H37" i="5"/>
  <c r="H36" i="5"/>
  <c r="H35" i="5"/>
  <c r="H34" i="5"/>
  <c r="H33" i="5"/>
  <c r="H32" i="5"/>
  <c r="H31" i="5"/>
  <c r="H30" i="5"/>
  <c r="H29" i="5"/>
  <c r="H28" i="5"/>
  <c r="H27" i="5"/>
  <c r="H26" i="5"/>
  <c r="H25" i="5"/>
  <c r="H24" i="5"/>
  <c r="H23" i="5"/>
  <c r="H22" i="5"/>
  <c r="H21" i="5"/>
  <c r="H20" i="5"/>
  <c r="H19" i="5"/>
  <c r="H18" i="5"/>
  <c r="H17" i="5"/>
  <c r="H16" i="5"/>
  <c r="H15" i="5"/>
  <c r="H14" i="5"/>
  <c r="H13" i="5"/>
  <c r="H12" i="5"/>
  <c r="H11" i="5"/>
  <c r="H10" i="5"/>
  <c r="H9" i="5"/>
  <c r="H8" i="5"/>
  <c r="H7" i="5"/>
  <c r="H6" i="5"/>
  <c r="H5" i="5"/>
  <c r="H4" i="5"/>
  <c r="H3" i="5"/>
  <c r="H2" i="5"/>
  <c r="H22" i="4"/>
  <c r="H21" i="4"/>
  <c r="H20" i="4"/>
  <c r="H19" i="4"/>
  <c r="H18" i="4"/>
  <c r="H21" i="3"/>
  <c r="H20" i="3"/>
  <c r="H19" i="3"/>
  <c r="H18" i="3"/>
  <c r="H17" i="3"/>
  <c r="H3" i="3" l="1"/>
  <c r="H4" i="3"/>
  <c r="H5" i="3"/>
  <c r="H6" i="3"/>
  <c r="H7" i="3"/>
  <c r="H8" i="3"/>
  <c r="H9" i="3"/>
  <c r="H10" i="3"/>
  <c r="H11" i="3"/>
  <c r="H12" i="3"/>
  <c r="H13" i="3"/>
  <c r="H14" i="3"/>
  <c r="H15" i="3"/>
  <c r="H16" i="3"/>
  <c r="H2" i="3"/>
  <c r="H21" i="2"/>
  <c r="H20" i="2"/>
  <c r="H19" i="2"/>
  <c r="H18" i="2"/>
  <c r="H17" i="2"/>
  <c r="H21" i="1"/>
  <c r="H20" i="1"/>
  <c r="H19" i="1"/>
  <c r="H18" i="1"/>
  <c r="H17" i="1"/>
  <c r="H16" i="1" l="1"/>
  <c r="H15" i="1"/>
  <c r="H14" i="1"/>
  <c r="H13" i="1"/>
  <c r="H12" i="1"/>
  <c r="H16" i="2"/>
  <c r="H15" i="2"/>
  <c r="H14" i="2"/>
  <c r="H13" i="2"/>
  <c r="H12" i="2"/>
  <c r="H17" i="4"/>
  <c r="H16" i="4"/>
  <c r="H15" i="4"/>
  <c r="H14" i="4"/>
  <c r="H13" i="4"/>
  <c r="H12" i="4"/>
  <c r="H2" i="1" l="1"/>
  <c r="H3" i="1"/>
  <c r="H4" i="1"/>
  <c r="H5" i="1"/>
  <c r="H6" i="1"/>
  <c r="H7" i="1"/>
  <c r="H8" i="1"/>
  <c r="H9" i="1"/>
  <c r="H10" i="1"/>
  <c r="H11" i="1"/>
  <c r="H11" i="4" l="1"/>
  <c r="H10" i="4"/>
  <c r="H9" i="4"/>
  <c r="H8" i="4"/>
  <c r="H7" i="4"/>
  <c r="H6" i="4"/>
  <c r="H5" i="4"/>
  <c r="H4" i="4"/>
  <c r="H3" i="4"/>
  <c r="H2" i="4"/>
  <c r="H11" i="2"/>
  <c r="H10" i="2"/>
  <c r="H9" i="2"/>
  <c r="H8" i="2"/>
  <c r="H7" i="2"/>
  <c r="H6" i="2"/>
  <c r="H5" i="2"/>
  <c r="H4" i="2"/>
  <c r="H3" i="2"/>
  <c r="H2" i="2"/>
</calcChain>
</file>

<file path=xl/connections.xml><?xml version="1.0" encoding="utf-8"?>
<connections xmlns="http://schemas.openxmlformats.org/spreadsheetml/2006/main">
  <connection id="1"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name="WorksheetConnection_Dashboard Pune2.xlsx!East" type="102" refreshedVersion="6" minRefreshableVersion="5">
    <extLst>
      <ext xmlns:x15="http://schemas.microsoft.com/office/spreadsheetml/2010/11/main" uri="{DE250136-89BD-433C-8126-D09CA5730AF9}">
        <x15:connection id="East" autoDelete="1">
          <x15:rangePr sourceName="_xlcn.WorksheetConnection_DashboardPune2.xlsxEast1"/>
        </x15:connection>
      </ext>
    </extLst>
  </connection>
  <connection id="3" name="WorksheetConnection_Dashboard Pune2.xlsx!West" type="102" refreshedVersion="6" minRefreshableVersion="5">
    <extLst>
      <ext xmlns:x15="http://schemas.microsoft.com/office/spreadsheetml/2010/11/main" uri="{DE250136-89BD-433C-8126-D09CA5730AF9}">
        <x15:connection id="West">
          <x15:rangePr sourceName="_xlcn.WorksheetConnection_DashboardPune2.xlsxWest1"/>
        </x15:connection>
      </ext>
    </extLst>
  </connection>
</connections>
</file>

<file path=xl/sharedStrings.xml><?xml version="1.0" encoding="utf-8"?>
<sst xmlns="http://schemas.openxmlformats.org/spreadsheetml/2006/main" count="595" uniqueCount="45">
  <si>
    <t>Date</t>
  </si>
  <si>
    <t>Product</t>
  </si>
  <si>
    <t>Name</t>
  </si>
  <si>
    <t>Area</t>
  </si>
  <si>
    <t>Qty</t>
  </si>
  <si>
    <t>Cost</t>
  </si>
  <si>
    <t>Total</t>
  </si>
  <si>
    <t>Sr. No.</t>
  </si>
  <si>
    <t>TV</t>
  </si>
  <si>
    <t>East</t>
  </si>
  <si>
    <t>Mobile</t>
  </si>
  <si>
    <t>Table</t>
  </si>
  <si>
    <t>Computer</t>
  </si>
  <si>
    <t>Laptop</t>
  </si>
  <si>
    <t>Hard Disc</t>
  </si>
  <si>
    <t>Ashok</t>
  </si>
  <si>
    <t>Anil</t>
  </si>
  <si>
    <t>Sunil</t>
  </si>
  <si>
    <t>Rajesh</t>
  </si>
  <si>
    <t>Mangesh</t>
  </si>
  <si>
    <t>West</t>
  </si>
  <si>
    <t>South</t>
  </si>
  <si>
    <t>North</t>
  </si>
  <si>
    <t>Total Sale</t>
  </si>
  <si>
    <t>Slicers-</t>
  </si>
  <si>
    <t>Record Macro to get data in one sheet - Record for East &amp; West only then Edit Macro and paste for South &amp; North</t>
  </si>
  <si>
    <t>Convert Data in to Table. Create Pivot Table Report - Area wise Total Sale - Create Chart - Rename Sheet As RPT</t>
  </si>
  <si>
    <t>Record Macro to Copy RPT sheet before existing sheet - Total 4 Sheets</t>
  </si>
  <si>
    <t>Edit every sheet for different reports and Charts (with Chart Type). Remove Headers / Rename all Charts.</t>
  </si>
  <si>
    <t>Apply filter to get expected results.</t>
  </si>
  <si>
    <t>Yellow in Column Lebels in Pivot Table Report</t>
  </si>
  <si>
    <t>Area,</t>
  </si>
  <si>
    <t>Product,</t>
  </si>
  <si>
    <t>Date,</t>
  </si>
  <si>
    <t>This way you can create Dashboard with New Data also (Add 5 records in each Region and Create Dashboard).</t>
  </si>
  <si>
    <t>Copy all Charts in Dashboard Sheet. Resize 6 * 14 and arrange.</t>
  </si>
  <si>
    <t>Record Macro to Insert Slicers, (Area, Product, Name and Date)  Edit and arrange.</t>
  </si>
  <si>
    <t>Connect Slicers with every chart using Report Connections.</t>
  </si>
  <si>
    <t>After completing all tasks, Delete all four RPT sheets. And Clear all from Data sheet and Dashboard sheet.</t>
  </si>
  <si>
    <t>Add some records in every Region. Run first Macro to get data in Data Sheet. Create Pivot Table report then Set Charts on Dashboard sheet. Run Third Macro Then connect slicers with every Chart.</t>
  </si>
  <si>
    <t>Row Labels</t>
  </si>
  <si>
    <t>Grand Total</t>
  </si>
  <si>
    <t>Sum of Total</t>
  </si>
  <si>
    <t>Sum of Qty</t>
  </si>
  <si>
    <t>Column Labels</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</si>
</sst>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409]d/mmm/yyyy;@"/>
  </numFmts>
  <fonts count="4" x14ac:knownFonts="1">
    <font>
      <sz val="11"/>
      <color theme="1"/>
      <name val="Calibri"/>
      <family val="2"/>
      <scheme val="minor"/>
    </font>
    <font>
      <sz val="11"/>
      <color rgb="FFFF0000"/>
      <name val="Calibri"/>
      <family val="2"/>
      <scheme val="minor"/>
    </font>
    <font>
      <b/>
      <sz val="12"/>
      <color rgb="FF7030A0"/>
      <name val="Calibri"/>
      <family val="2"/>
      <scheme val="minor"/>
    </font>
    <font>
      <b/>
      <sz val="12"/>
      <color rgb="FFFF0000"/>
      <name val="Calibri"/>
      <family val="2"/>
      <scheme val="minor"/>
    </font>
  </fonts>
  <fills count="3">
    <fill>
      <patternFill patternType="none"/>
    </fill>
    <fill>
      <patternFill patternType="gray125"/>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15">
    <xf numFmtId="0" fontId="0" fillId="0" borderId="0" xfId="0"/>
    <xf numFmtId="0" fontId="0" fillId="0" borderId="0" xfId="0" applyAlignment="1">
      <alignment horizontal="center"/>
    </xf>
    <xf numFmtId="0" fontId="0" fillId="0" borderId="0" xfId="0" applyFont="1"/>
    <xf numFmtId="164" fontId="0" fillId="0" borderId="0" xfId="0" applyNumberFormat="1"/>
    <xf numFmtId="0" fontId="1" fillId="0" borderId="0" xfId="0" applyFont="1" applyAlignment="1">
      <alignment horizontal="center"/>
    </xf>
    <xf numFmtId="0" fontId="1" fillId="0" borderId="0" xfId="0" applyFont="1"/>
    <xf numFmtId="0" fontId="2" fillId="0" borderId="0" xfId="0" applyFont="1"/>
    <xf numFmtId="0" fontId="0" fillId="0" borderId="1" xfId="0" applyBorder="1" applyAlignment="1">
      <alignment horizontal="left" vertical="center"/>
    </xf>
    <xf numFmtId="0" fontId="0" fillId="0" borderId="0" xfId="0" applyAlignment="1">
      <alignment horizontal="left" vertical="center"/>
    </xf>
    <xf numFmtId="0" fontId="0" fillId="2" borderId="1" xfId="0" applyFill="1" applyBorder="1" applyAlignment="1">
      <alignment horizontal="left" vertical="center"/>
    </xf>
    <xf numFmtId="0" fontId="3" fillId="0" borderId="0" xfId="0" applyFont="1"/>
    <xf numFmtId="0" fontId="0" fillId="0" borderId="0" xfId="0" pivotButton="1"/>
    <xf numFmtId="0" fontId="0" fillId="0" borderId="0" xfId="0" applyAlignment="1">
      <alignment horizontal="left"/>
    </xf>
    <xf numFmtId="0" fontId="0" fillId="0" borderId="0" xfId="0" applyNumberFormat="1"/>
    <xf numFmtId="0" fontId="0" fillId="0" borderId="0" xfId="0" applyAlignment="1">
      <alignment horizontal="right"/>
    </xf>
  </cellXfs>
  <cellStyles count="1">
    <cellStyle name="Normal" xfId="0" builtinId="0"/>
  </cellStyles>
  <dxfs count="5">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164" formatCode="[$-409]d/mmm/yyyy;@"/>
    </dxf>
    <dxf>
      <alignment horizontal="right"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openxmlformats.org/officeDocument/2006/relationships/connections" Target="connection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theme" Target="theme/theme1.xml"/><Relationship Id="rId2" Type="http://schemas.openxmlformats.org/officeDocument/2006/relationships/worksheet" Target="worksheets/sheet2.xml"/><Relationship Id="rId16" Type="http://schemas.microsoft.com/office/2007/relationships/slicerCache" Target="slicerCaches/slicerCache4.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7/relationships/slicerCache" Target="slicerCaches/slicerCache3.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2.xml"/><Relationship Id="rId22"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Area</a:t>
            </a:r>
            <a:r>
              <a:rPr lang="en-US" baseline="0"/>
              <a:t> wise Total Sale</a:t>
            </a:r>
            <a:endParaRPr lang="en-US"/>
          </a:p>
        </c:rich>
      </c:tx>
      <c:layout/>
      <c:overlay val="0"/>
    </c:title>
    <c:autoTitleDeleted val="0"/>
    <c:pivotFmts>
      <c:pivotFmt>
        <c:idx val="0"/>
        <c:marker>
          <c:symbol val="none"/>
        </c:marker>
      </c:pivotFmt>
      <c:pivotFmt>
        <c:idx val="1"/>
        <c:marker>
          <c:symbol val="none"/>
        </c:marker>
      </c:pivotFmt>
      <c:pivotFmt>
        <c:idx val="2"/>
        <c:marker>
          <c:symbol val="none"/>
        </c:marker>
      </c:pivotFmt>
    </c:pivotFmts>
    <c:plotArea>
      <c:layout/>
      <c:doughnutChart>
        <c:varyColors val="1"/>
        <c:ser>
          <c:idx val="0"/>
          <c:order val="0"/>
          <c:tx>
            <c:v>Total</c:v>
          </c:tx>
          <c:cat>
            <c:strLit>
              <c:ptCount val="4"/>
              <c:pt idx="0">
                <c:v>East</c:v>
              </c:pt>
              <c:pt idx="1">
                <c:v>North</c:v>
              </c:pt>
              <c:pt idx="2">
                <c:v>South</c:v>
              </c:pt>
              <c:pt idx="3">
                <c:v>West</c:v>
              </c:pt>
            </c:strLit>
          </c:cat>
          <c:val>
            <c:numLit>
              <c:formatCode>General</c:formatCode>
              <c:ptCount val="4"/>
              <c:pt idx="0">
                <c:v>1158493</c:v>
              </c:pt>
              <c:pt idx="1">
                <c:v>799375</c:v>
              </c:pt>
              <c:pt idx="2">
                <c:v>914954</c:v>
              </c:pt>
              <c:pt idx="3">
                <c:v>886721</c:v>
              </c:pt>
            </c:numLit>
          </c:val>
        </c:ser>
        <c:dLbls>
          <c:showLegendKey val="0"/>
          <c:showVal val="0"/>
          <c:showCatName val="0"/>
          <c:showSerName val="0"/>
          <c:showPercent val="0"/>
          <c:showBubbleSize val="0"/>
          <c:showLeaderLines val="1"/>
        </c:dLbls>
        <c:firstSliceAng val="0"/>
        <c:holeSize val="50"/>
      </c:doughnutChart>
    </c:plotArea>
    <c:legend>
      <c:legendPos val="r"/>
      <c:layout/>
      <c:overlay val="0"/>
    </c:legend>
    <c:plotVisOnly val="1"/>
    <c:dispBlanksAs val="gap"/>
    <c:showDLblsOverMax val="0"/>
  </c:chart>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[Dashboard-1 Project.xlsm]RPT (2)!PivotTable1</c:name>
    <c:fmtId val="3"/>
  </c:pivotSource>
  <c:chart>
    <c:title>
      <c:tx>
        <c:rich>
          <a:bodyPr/>
          <a:lstStyle/>
          <a:p>
            <a:pPr>
              <a:defRPr/>
            </a:pPr>
            <a:r>
              <a:rPr lang="en-US" baseline="0"/>
              <a:t>Product wise Total Sale</a:t>
            </a:r>
            <a:endParaRPr lang="en-US"/>
          </a:p>
        </c:rich>
      </c:tx>
      <c:layout/>
      <c:overlay val="0"/>
    </c:title>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s>
    <c:view3D>
      <c:rotX val="75"/>
      <c:rotY val="0"/>
      <c:rAngAx val="0"/>
      <c:perspective val="30"/>
    </c:view3D>
    <c:floor>
      <c:thickness val="0"/>
    </c:floor>
    <c:sideWall>
      <c:thickness val="0"/>
    </c:sideWall>
    <c:backWall>
      <c:thickness val="0"/>
    </c:backWall>
    <c:plotArea>
      <c:layout/>
      <c:pie3DChart>
        <c:varyColors val="1"/>
        <c:ser>
          <c:idx val="0"/>
          <c:order val="0"/>
          <c:tx>
            <c:strRef>
              <c:f>'RPT (2)'!$B$3</c:f>
              <c:strCache>
                <c:ptCount val="1"/>
                <c:pt idx="0">
                  <c:v>Total</c:v>
                </c:pt>
              </c:strCache>
            </c:strRef>
          </c:tx>
          <c:cat>
            <c:strRef>
              <c:f>'RPT (2)'!$A$4:$A$10</c:f>
              <c:strCache>
                <c:ptCount val="6"/>
                <c:pt idx="0">
                  <c:v>Computer</c:v>
                </c:pt>
                <c:pt idx="1">
                  <c:v>Hard Disc</c:v>
                </c:pt>
                <c:pt idx="2">
                  <c:v>Laptop</c:v>
                </c:pt>
                <c:pt idx="3">
                  <c:v>Mobile</c:v>
                </c:pt>
                <c:pt idx="4">
                  <c:v>Table</c:v>
                </c:pt>
                <c:pt idx="5">
                  <c:v>TV</c:v>
                </c:pt>
              </c:strCache>
            </c:strRef>
          </c:cat>
          <c:val>
            <c:numRef>
              <c:f>'RPT (2)'!$B$4:$B$10</c:f>
              <c:numCache>
                <c:formatCode>General</c:formatCode>
                <c:ptCount val="6"/>
                <c:pt idx="0">
                  <c:v>572064</c:v>
                </c:pt>
                <c:pt idx="1">
                  <c:v>415432</c:v>
                </c:pt>
                <c:pt idx="2">
                  <c:v>470761</c:v>
                </c:pt>
                <c:pt idx="3">
                  <c:v>597608</c:v>
                </c:pt>
                <c:pt idx="4">
                  <c:v>973849</c:v>
                </c:pt>
                <c:pt idx="5">
                  <c:v>729829</c:v>
                </c:pt>
              </c:numCache>
            </c:numRef>
          </c:val>
        </c:ser>
        <c:dLbls>
          <c:showLegendKey val="0"/>
          <c:showVal val="0"/>
          <c:showCatName val="0"/>
          <c:showSerName val="0"/>
          <c:showPercent val="0"/>
          <c:showBubbleSize val="0"/>
          <c:showLeaderLines val="1"/>
        </c:dLbls>
      </c:pie3DChart>
    </c:plotArea>
    <c:legend>
      <c:legendPos val="r"/>
      <c:layout/>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[Dashboard-1 Project.xlsm]RPT (3)!PivotTable1</c:name>
    <c:fmtId val="4"/>
  </c:pivotSource>
  <c:chart>
    <c:title>
      <c:tx>
        <c:rich>
          <a:bodyPr/>
          <a:lstStyle/>
          <a:p>
            <a:pPr>
              <a:defRPr/>
            </a:pPr>
            <a:r>
              <a:rPr lang="en-US"/>
              <a:t>Area</a:t>
            </a:r>
            <a:r>
              <a:rPr lang="en-US" baseline="0"/>
              <a:t> wise Product Qty</a:t>
            </a:r>
            <a:endParaRPr lang="en-US"/>
          </a:p>
        </c:rich>
      </c:tx>
      <c:layout/>
      <c:overlay val="0"/>
    </c:title>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s>
    <c:plotArea>
      <c:layout/>
      <c:barChart>
        <c:barDir val="bar"/>
        <c:grouping val="clustered"/>
        <c:varyColors val="0"/>
        <c:ser>
          <c:idx val="0"/>
          <c:order val="0"/>
          <c:tx>
            <c:strRef>
              <c:f>'RPT (3)'!$B$3:$B$4</c:f>
              <c:strCache>
                <c:ptCount val="1"/>
                <c:pt idx="0">
                  <c:v>Computer</c:v>
                </c:pt>
              </c:strCache>
            </c:strRef>
          </c:tx>
          <c:invertIfNegative val="0"/>
          <c:cat>
            <c:strRef>
              <c:f>'RPT (3)'!$A$5:$A$9</c:f>
              <c:strCache>
                <c:ptCount val="4"/>
                <c:pt idx="0">
                  <c:v>East</c:v>
                </c:pt>
                <c:pt idx="1">
                  <c:v>North</c:v>
                </c:pt>
                <c:pt idx="2">
                  <c:v>South</c:v>
                </c:pt>
                <c:pt idx="3">
                  <c:v>West</c:v>
                </c:pt>
              </c:strCache>
            </c:strRef>
          </c:cat>
          <c:val>
            <c:numRef>
              <c:f>'RPT (3)'!$B$5:$B$9</c:f>
              <c:numCache>
                <c:formatCode>General</c:formatCode>
                <c:ptCount val="4"/>
                <c:pt idx="0">
                  <c:v>71</c:v>
                </c:pt>
                <c:pt idx="1">
                  <c:v>54</c:v>
                </c:pt>
                <c:pt idx="3">
                  <c:v>48</c:v>
                </c:pt>
              </c:numCache>
            </c:numRef>
          </c:val>
        </c:ser>
        <c:ser>
          <c:idx val="1"/>
          <c:order val="1"/>
          <c:tx>
            <c:strRef>
              <c:f>'RPT (3)'!$C$3:$C$4</c:f>
              <c:strCache>
                <c:ptCount val="1"/>
                <c:pt idx="0">
                  <c:v>Hard Disc</c:v>
                </c:pt>
              </c:strCache>
            </c:strRef>
          </c:tx>
          <c:invertIfNegative val="0"/>
          <c:cat>
            <c:strRef>
              <c:f>'RPT (3)'!$A$5:$A$9</c:f>
              <c:strCache>
                <c:ptCount val="4"/>
                <c:pt idx="0">
                  <c:v>East</c:v>
                </c:pt>
                <c:pt idx="1">
                  <c:v>North</c:v>
                </c:pt>
                <c:pt idx="2">
                  <c:v>South</c:v>
                </c:pt>
                <c:pt idx="3">
                  <c:v>West</c:v>
                </c:pt>
              </c:strCache>
            </c:strRef>
          </c:cat>
          <c:val>
            <c:numRef>
              <c:f>'RPT (3)'!$C$5:$C$9</c:f>
              <c:numCache>
                <c:formatCode>General</c:formatCode>
                <c:ptCount val="4"/>
                <c:pt idx="0">
                  <c:v>73</c:v>
                </c:pt>
                <c:pt idx="2">
                  <c:v>60</c:v>
                </c:pt>
              </c:numCache>
            </c:numRef>
          </c:val>
        </c:ser>
        <c:ser>
          <c:idx val="2"/>
          <c:order val="2"/>
          <c:tx>
            <c:strRef>
              <c:f>'RPT (3)'!$D$3:$D$4</c:f>
              <c:strCache>
                <c:ptCount val="1"/>
                <c:pt idx="0">
                  <c:v>Laptop</c:v>
                </c:pt>
              </c:strCache>
            </c:strRef>
          </c:tx>
          <c:invertIfNegative val="0"/>
          <c:cat>
            <c:strRef>
              <c:f>'RPT (3)'!$A$5:$A$9</c:f>
              <c:strCache>
                <c:ptCount val="4"/>
                <c:pt idx="0">
                  <c:v>East</c:v>
                </c:pt>
                <c:pt idx="1">
                  <c:v>North</c:v>
                </c:pt>
                <c:pt idx="2">
                  <c:v>South</c:v>
                </c:pt>
                <c:pt idx="3">
                  <c:v>West</c:v>
                </c:pt>
              </c:strCache>
            </c:strRef>
          </c:cat>
          <c:val>
            <c:numRef>
              <c:f>'RPT (3)'!$D$5:$D$9</c:f>
              <c:numCache>
                <c:formatCode>General</c:formatCode>
                <c:ptCount val="4"/>
                <c:pt idx="1">
                  <c:v>81</c:v>
                </c:pt>
                <c:pt idx="3">
                  <c:v>45</c:v>
                </c:pt>
              </c:numCache>
            </c:numRef>
          </c:val>
        </c:ser>
        <c:ser>
          <c:idx val="3"/>
          <c:order val="3"/>
          <c:tx>
            <c:strRef>
              <c:f>'RPT (3)'!$E$3:$E$4</c:f>
              <c:strCache>
                <c:ptCount val="1"/>
                <c:pt idx="0">
                  <c:v>Mobile</c:v>
                </c:pt>
              </c:strCache>
            </c:strRef>
          </c:tx>
          <c:invertIfNegative val="0"/>
          <c:cat>
            <c:strRef>
              <c:f>'RPT (3)'!$A$5:$A$9</c:f>
              <c:strCache>
                <c:ptCount val="4"/>
                <c:pt idx="0">
                  <c:v>East</c:v>
                </c:pt>
                <c:pt idx="1">
                  <c:v>North</c:v>
                </c:pt>
                <c:pt idx="2">
                  <c:v>South</c:v>
                </c:pt>
                <c:pt idx="3">
                  <c:v>West</c:v>
                </c:pt>
              </c:strCache>
            </c:strRef>
          </c:cat>
          <c:val>
            <c:numRef>
              <c:f>'RPT (3)'!$E$5:$E$9</c:f>
              <c:numCache>
                <c:formatCode>General</c:formatCode>
                <c:ptCount val="4"/>
                <c:pt idx="0">
                  <c:v>58</c:v>
                </c:pt>
                <c:pt idx="2">
                  <c:v>55</c:v>
                </c:pt>
                <c:pt idx="3">
                  <c:v>57</c:v>
                </c:pt>
              </c:numCache>
            </c:numRef>
          </c:val>
        </c:ser>
        <c:ser>
          <c:idx val="4"/>
          <c:order val="4"/>
          <c:tx>
            <c:strRef>
              <c:f>'RPT (3)'!$F$3:$F$4</c:f>
              <c:strCache>
                <c:ptCount val="1"/>
                <c:pt idx="0">
                  <c:v>Table</c:v>
                </c:pt>
              </c:strCache>
            </c:strRef>
          </c:tx>
          <c:invertIfNegative val="0"/>
          <c:cat>
            <c:strRef>
              <c:f>'RPT (3)'!$A$5:$A$9</c:f>
              <c:strCache>
                <c:ptCount val="4"/>
                <c:pt idx="0">
                  <c:v>East</c:v>
                </c:pt>
                <c:pt idx="1">
                  <c:v>North</c:v>
                </c:pt>
                <c:pt idx="2">
                  <c:v>South</c:v>
                </c:pt>
                <c:pt idx="3">
                  <c:v>West</c:v>
                </c:pt>
              </c:strCache>
            </c:strRef>
          </c:cat>
          <c:val>
            <c:numRef>
              <c:f>'RPT (3)'!$F$5:$F$9</c:f>
              <c:numCache>
                <c:formatCode>General</c:formatCode>
                <c:ptCount val="4"/>
                <c:pt idx="0">
                  <c:v>70</c:v>
                </c:pt>
                <c:pt idx="1">
                  <c:v>75</c:v>
                </c:pt>
                <c:pt idx="2">
                  <c:v>57</c:v>
                </c:pt>
                <c:pt idx="3">
                  <c:v>61</c:v>
                </c:pt>
              </c:numCache>
            </c:numRef>
          </c:val>
        </c:ser>
        <c:ser>
          <c:idx val="5"/>
          <c:order val="5"/>
          <c:tx>
            <c:strRef>
              <c:f>'RPT (3)'!$G$3:$G$4</c:f>
              <c:strCache>
                <c:ptCount val="1"/>
                <c:pt idx="0">
                  <c:v>TV</c:v>
                </c:pt>
              </c:strCache>
            </c:strRef>
          </c:tx>
          <c:invertIfNegative val="0"/>
          <c:cat>
            <c:strRef>
              <c:f>'RPT (3)'!$A$5:$A$9</c:f>
              <c:strCache>
                <c:ptCount val="4"/>
                <c:pt idx="0">
                  <c:v>East</c:v>
                </c:pt>
                <c:pt idx="1">
                  <c:v>North</c:v>
                </c:pt>
                <c:pt idx="2">
                  <c:v>South</c:v>
                </c:pt>
                <c:pt idx="3">
                  <c:v>West</c:v>
                </c:pt>
              </c:strCache>
            </c:strRef>
          </c:cat>
          <c:val>
            <c:numRef>
              <c:f>'RPT (3)'!$G$5:$G$9</c:f>
              <c:numCache>
                <c:formatCode>General</c:formatCode>
                <c:ptCount val="4"/>
                <c:pt idx="0">
                  <c:v>70</c:v>
                </c:pt>
                <c:pt idx="2">
                  <c:v>79</c:v>
                </c:pt>
                <c:pt idx="3">
                  <c:v>55</c:v>
                </c:pt>
              </c:numCache>
            </c:numRef>
          </c:val>
        </c:ser>
        <c:dLbls>
          <c:showLegendKey val="0"/>
          <c:showVal val="0"/>
          <c:showCatName val="0"/>
          <c:showSerName val="0"/>
          <c:showPercent val="0"/>
          <c:showBubbleSize val="0"/>
        </c:dLbls>
        <c:gapWidth val="100"/>
        <c:axId val="122237952"/>
        <c:axId val="123412480"/>
      </c:barChart>
      <c:valAx>
        <c:axId val="123412480"/>
        <c:scaling>
          <c:orientation val="minMax"/>
        </c:scaling>
        <c:delete val="0"/>
        <c:axPos val="b"/>
        <c:majorGridlines/>
        <c:numFmt formatCode="General" sourceLinked="1"/>
        <c:majorTickMark val="out"/>
        <c:minorTickMark val="none"/>
        <c:tickLblPos val="nextTo"/>
        <c:crossAx val="122237952"/>
        <c:crosses val="autoZero"/>
        <c:crossBetween val="between"/>
      </c:valAx>
      <c:catAx>
        <c:axId val="122237952"/>
        <c:scaling>
          <c:orientation val="minMax"/>
        </c:scaling>
        <c:delete val="0"/>
        <c:axPos val="l"/>
        <c:majorTickMark val="out"/>
        <c:minorTickMark val="none"/>
        <c:tickLblPos val="nextTo"/>
        <c:crossAx val="123412480"/>
        <c:crosses val="autoZero"/>
        <c:auto val="1"/>
        <c:lblAlgn val="ctr"/>
        <c:lblOffset val="100"/>
        <c:noMultiLvlLbl val="0"/>
      </c:catAx>
    </c:plotArea>
    <c:legend>
      <c:legendPos val="r"/>
      <c:layout/>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[Dashboard-1 Project.xlsm]RPT (4)!PivotTable1</c:name>
    <c:fmtId val="5"/>
  </c:pivotSource>
  <c:chart>
    <c:title>
      <c:tx>
        <c:rich>
          <a:bodyPr/>
          <a:lstStyle/>
          <a:p>
            <a:pPr>
              <a:defRPr/>
            </a:pPr>
            <a:r>
              <a:rPr lang="en-US" baseline="0"/>
              <a:t>Date wise Product Total Sale</a:t>
            </a:r>
            <a:endParaRPr lang="en-US"/>
          </a:p>
        </c:rich>
      </c:tx>
      <c:layout>
        <c:manualLayout>
          <c:xMode val="edge"/>
          <c:yMode val="edge"/>
          <c:x val="0.28383588496680284"/>
          <c:y val="0.11934966462525518"/>
        </c:manualLayout>
      </c:layout>
      <c:overlay val="0"/>
    </c:title>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s>
    <c:plotArea>
      <c:layout/>
      <c:barChart>
        <c:barDir val="col"/>
        <c:grouping val="clustered"/>
        <c:varyColors val="0"/>
        <c:ser>
          <c:idx val="0"/>
          <c:order val="0"/>
          <c:tx>
            <c:strRef>
              <c:f>'RPT (4)'!$B$3:$B$4</c:f>
              <c:strCache>
                <c:ptCount val="1"/>
                <c:pt idx="0">
                  <c:v>1/Jan/2010</c:v>
                </c:pt>
              </c:strCache>
            </c:strRef>
          </c:tx>
          <c:invertIfNegative val="0"/>
          <c:cat>
            <c:strRef>
              <c:f>'RPT (4)'!$A$5:$A$11</c:f>
              <c:strCache>
                <c:ptCount val="6"/>
                <c:pt idx="0">
                  <c:v>Computer</c:v>
                </c:pt>
                <c:pt idx="1">
                  <c:v>Hard Disc</c:v>
                </c:pt>
                <c:pt idx="2">
                  <c:v>Laptop</c:v>
                </c:pt>
                <c:pt idx="3">
                  <c:v>Mobile</c:v>
                </c:pt>
                <c:pt idx="4">
                  <c:v>Table</c:v>
                </c:pt>
                <c:pt idx="5">
                  <c:v>TV</c:v>
                </c:pt>
              </c:strCache>
            </c:strRef>
          </c:cat>
          <c:val>
            <c:numRef>
              <c:f>'RPT (4)'!$B$5:$B$11</c:f>
              <c:numCache>
                <c:formatCode>General</c:formatCode>
                <c:ptCount val="6"/>
                <c:pt idx="2">
                  <c:v>66350</c:v>
                </c:pt>
                <c:pt idx="3">
                  <c:v>91980</c:v>
                </c:pt>
                <c:pt idx="4">
                  <c:v>65870</c:v>
                </c:pt>
                <c:pt idx="5">
                  <c:v>87635</c:v>
                </c:pt>
              </c:numCache>
            </c:numRef>
          </c:val>
        </c:ser>
        <c:ser>
          <c:idx val="1"/>
          <c:order val="1"/>
          <c:tx>
            <c:strRef>
              <c:f>'RPT (4)'!$C$3:$C$4</c:f>
              <c:strCache>
                <c:ptCount val="1"/>
                <c:pt idx="0">
                  <c:v>2/Jan/2010</c:v>
                </c:pt>
              </c:strCache>
            </c:strRef>
          </c:tx>
          <c:invertIfNegative val="0"/>
          <c:cat>
            <c:strRef>
              <c:f>'RPT (4)'!$A$5:$A$11</c:f>
              <c:strCache>
                <c:ptCount val="6"/>
                <c:pt idx="0">
                  <c:v>Computer</c:v>
                </c:pt>
                <c:pt idx="1">
                  <c:v>Hard Disc</c:v>
                </c:pt>
                <c:pt idx="2">
                  <c:v>Laptop</c:v>
                </c:pt>
                <c:pt idx="3">
                  <c:v>Mobile</c:v>
                </c:pt>
                <c:pt idx="4">
                  <c:v>Table</c:v>
                </c:pt>
                <c:pt idx="5">
                  <c:v>TV</c:v>
                </c:pt>
              </c:strCache>
            </c:strRef>
          </c:cat>
          <c:val>
            <c:numRef>
              <c:f>'RPT (4)'!$C$5:$C$11</c:f>
              <c:numCache>
                <c:formatCode>General</c:formatCode>
                <c:ptCount val="6"/>
                <c:pt idx="0">
                  <c:v>128065</c:v>
                </c:pt>
                <c:pt idx="1">
                  <c:v>106962</c:v>
                </c:pt>
                <c:pt idx="3">
                  <c:v>79150</c:v>
                </c:pt>
                <c:pt idx="5">
                  <c:v>132154</c:v>
                </c:pt>
              </c:numCache>
            </c:numRef>
          </c:val>
        </c:ser>
        <c:ser>
          <c:idx val="2"/>
          <c:order val="2"/>
          <c:tx>
            <c:strRef>
              <c:f>'RPT (4)'!$D$3:$D$4</c:f>
              <c:strCache>
                <c:ptCount val="1"/>
                <c:pt idx="0">
                  <c:v>3/Jan/2010</c:v>
                </c:pt>
              </c:strCache>
            </c:strRef>
          </c:tx>
          <c:invertIfNegative val="0"/>
          <c:cat>
            <c:strRef>
              <c:f>'RPT (4)'!$A$5:$A$11</c:f>
              <c:strCache>
                <c:ptCount val="6"/>
                <c:pt idx="0">
                  <c:v>Computer</c:v>
                </c:pt>
                <c:pt idx="1">
                  <c:v>Hard Disc</c:v>
                </c:pt>
                <c:pt idx="2">
                  <c:v>Laptop</c:v>
                </c:pt>
                <c:pt idx="3">
                  <c:v>Mobile</c:v>
                </c:pt>
                <c:pt idx="4">
                  <c:v>Table</c:v>
                </c:pt>
                <c:pt idx="5">
                  <c:v>TV</c:v>
                </c:pt>
              </c:strCache>
            </c:strRef>
          </c:cat>
          <c:val>
            <c:numRef>
              <c:f>'RPT (4)'!$D$5:$D$11</c:f>
              <c:numCache>
                <c:formatCode>General</c:formatCode>
                <c:ptCount val="6"/>
                <c:pt idx="0">
                  <c:v>113449</c:v>
                </c:pt>
                <c:pt idx="2">
                  <c:v>57780</c:v>
                </c:pt>
                <c:pt idx="3">
                  <c:v>117092</c:v>
                </c:pt>
                <c:pt idx="4">
                  <c:v>104735</c:v>
                </c:pt>
              </c:numCache>
            </c:numRef>
          </c:val>
        </c:ser>
        <c:ser>
          <c:idx val="3"/>
          <c:order val="3"/>
          <c:tx>
            <c:strRef>
              <c:f>'RPT (4)'!$E$3:$E$4</c:f>
              <c:strCache>
                <c:ptCount val="1"/>
                <c:pt idx="0">
                  <c:v>4/Jan/2010</c:v>
                </c:pt>
              </c:strCache>
            </c:strRef>
          </c:tx>
          <c:invertIfNegative val="0"/>
          <c:cat>
            <c:strRef>
              <c:f>'RPT (4)'!$A$5:$A$11</c:f>
              <c:strCache>
                <c:ptCount val="6"/>
                <c:pt idx="0">
                  <c:v>Computer</c:v>
                </c:pt>
                <c:pt idx="1">
                  <c:v>Hard Disc</c:v>
                </c:pt>
                <c:pt idx="2">
                  <c:v>Laptop</c:v>
                </c:pt>
                <c:pt idx="3">
                  <c:v>Mobile</c:v>
                </c:pt>
                <c:pt idx="4">
                  <c:v>Table</c:v>
                </c:pt>
                <c:pt idx="5">
                  <c:v>TV</c:v>
                </c:pt>
              </c:strCache>
            </c:strRef>
          </c:cat>
          <c:val>
            <c:numRef>
              <c:f>'RPT (4)'!$E$5:$E$11</c:f>
              <c:numCache>
                <c:formatCode>General</c:formatCode>
                <c:ptCount val="6"/>
                <c:pt idx="0">
                  <c:v>53818</c:v>
                </c:pt>
                <c:pt idx="2">
                  <c:v>89834</c:v>
                </c:pt>
                <c:pt idx="4">
                  <c:v>148242</c:v>
                </c:pt>
                <c:pt idx="5">
                  <c:v>72460</c:v>
                </c:pt>
              </c:numCache>
            </c:numRef>
          </c:val>
        </c:ser>
        <c:ser>
          <c:idx val="4"/>
          <c:order val="4"/>
          <c:tx>
            <c:strRef>
              <c:f>'RPT (4)'!$F$3:$F$4</c:f>
              <c:strCache>
                <c:ptCount val="1"/>
                <c:pt idx="0">
                  <c:v>5/Jan/2010</c:v>
                </c:pt>
              </c:strCache>
            </c:strRef>
          </c:tx>
          <c:invertIfNegative val="0"/>
          <c:cat>
            <c:strRef>
              <c:f>'RPT (4)'!$A$5:$A$11</c:f>
              <c:strCache>
                <c:ptCount val="6"/>
                <c:pt idx="0">
                  <c:v>Computer</c:v>
                </c:pt>
                <c:pt idx="1">
                  <c:v>Hard Disc</c:v>
                </c:pt>
                <c:pt idx="2">
                  <c:v>Laptop</c:v>
                </c:pt>
                <c:pt idx="3">
                  <c:v>Mobile</c:v>
                </c:pt>
                <c:pt idx="4">
                  <c:v>Table</c:v>
                </c:pt>
                <c:pt idx="5">
                  <c:v>TV</c:v>
                </c:pt>
              </c:strCache>
            </c:strRef>
          </c:cat>
          <c:val>
            <c:numRef>
              <c:f>'RPT (4)'!$F$5:$F$11</c:f>
              <c:numCache>
                <c:formatCode>General</c:formatCode>
                <c:ptCount val="6"/>
                <c:pt idx="1">
                  <c:v>150136</c:v>
                </c:pt>
                <c:pt idx="2">
                  <c:v>114645</c:v>
                </c:pt>
                <c:pt idx="4">
                  <c:v>133178</c:v>
                </c:pt>
                <c:pt idx="5">
                  <c:v>111624</c:v>
                </c:pt>
              </c:numCache>
            </c:numRef>
          </c:val>
        </c:ser>
        <c:ser>
          <c:idx val="5"/>
          <c:order val="5"/>
          <c:tx>
            <c:strRef>
              <c:f>'RPT (4)'!$G$3:$G$4</c:f>
              <c:strCache>
                <c:ptCount val="1"/>
                <c:pt idx="0">
                  <c:v>6/Jan/2010</c:v>
                </c:pt>
              </c:strCache>
            </c:strRef>
          </c:tx>
          <c:invertIfNegative val="0"/>
          <c:cat>
            <c:strRef>
              <c:f>'RPT (4)'!$A$5:$A$11</c:f>
              <c:strCache>
                <c:ptCount val="6"/>
                <c:pt idx="0">
                  <c:v>Computer</c:v>
                </c:pt>
                <c:pt idx="1">
                  <c:v>Hard Disc</c:v>
                </c:pt>
                <c:pt idx="2">
                  <c:v>Laptop</c:v>
                </c:pt>
                <c:pt idx="3">
                  <c:v>Mobile</c:v>
                </c:pt>
                <c:pt idx="4">
                  <c:v>Table</c:v>
                </c:pt>
                <c:pt idx="5">
                  <c:v>TV</c:v>
                </c:pt>
              </c:strCache>
            </c:strRef>
          </c:cat>
          <c:val>
            <c:numRef>
              <c:f>'RPT (4)'!$G$5:$G$11</c:f>
              <c:numCache>
                <c:formatCode>General</c:formatCode>
                <c:ptCount val="6"/>
                <c:pt idx="2">
                  <c:v>31760</c:v>
                </c:pt>
                <c:pt idx="3">
                  <c:v>102080</c:v>
                </c:pt>
                <c:pt idx="4">
                  <c:v>147168</c:v>
                </c:pt>
                <c:pt idx="5">
                  <c:v>83204</c:v>
                </c:pt>
              </c:numCache>
            </c:numRef>
          </c:val>
        </c:ser>
        <c:ser>
          <c:idx val="6"/>
          <c:order val="6"/>
          <c:tx>
            <c:strRef>
              <c:f>'RPT (4)'!$H$3:$H$4</c:f>
              <c:strCache>
                <c:ptCount val="1"/>
                <c:pt idx="0">
                  <c:v>7/Jan/2010</c:v>
                </c:pt>
              </c:strCache>
            </c:strRef>
          </c:tx>
          <c:invertIfNegative val="0"/>
          <c:cat>
            <c:strRef>
              <c:f>'RPT (4)'!$A$5:$A$11</c:f>
              <c:strCache>
                <c:ptCount val="6"/>
                <c:pt idx="0">
                  <c:v>Computer</c:v>
                </c:pt>
                <c:pt idx="1">
                  <c:v>Hard Disc</c:v>
                </c:pt>
                <c:pt idx="2">
                  <c:v>Laptop</c:v>
                </c:pt>
                <c:pt idx="3">
                  <c:v>Mobile</c:v>
                </c:pt>
                <c:pt idx="4">
                  <c:v>Table</c:v>
                </c:pt>
                <c:pt idx="5">
                  <c:v>TV</c:v>
                </c:pt>
              </c:strCache>
            </c:strRef>
          </c:cat>
          <c:val>
            <c:numRef>
              <c:f>'RPT (4)'!$H$5:$H$11</c:f>
              <c:numCache>
                <c:formatCode>General</c:formatCode>
                <c:ptCount val="6"/>
                <c:pt idx="0">
                  <c:v>100608</c:v>
                </c:pt>
                <c:pt idx="1">
                  <c:v>75930</c:v>
                </c:pt>
                <c:pt idx="3">
                  <c:v>84690</c:v>
                </c:pt>
                <c:pt idx="5">
                  <c:v>147520</c:v>
                </c:pt>
              </c:numCache>
            </c:numRef>
          </c:val>
        </c:ser>
        <c:ser>
          <c:idx val="7"/>
          <c:order val="7"/>
          <c:tx>
            <c:strRef>
              <c:f>'RPT (4)'!$I$3:$I$4</c:f>
              <c:strCache>
                <c:ptCount val="1"/>
                <c:pt idx="0">
                  <c:v>8/Jan/2010</c:v>
                </c:pt>
              </c:strCache>
            </c:strRef>
          </c:tx>
          <c:invertIfNegative val="0"/>
          <c:cat>
            <c:strRef>
              <c:f>'RPT (4)'!$A$5:$A$11</c:f>
              <c:strCache>
                <c:ptCount val="6"/>
                <c:pt idx="0">
                  <c:v>Computer</c:v>
                </c:pt>
                <c:pt idx="1">
                  <c:v>Hard Disc</c:v>
                </c:pt>
                <c:pt idx="2">
                  <c:v>Laptop</c:v>
                </c:pt>
                <c:pt idx="3">
                  <c:v>Mobile</c:v>
                </c:pt>
                <c:pt idx="4">
                  <c:v>Table</c:v>
                </c:pt>
                <c:pt idx="5">
                  <c:v>TV</c:v>
                </c:pt>
              </c:strCache>
            </c:strRef>
          </c:cat>
          <c:val>
            <c:numRef>
              <c:f>'RPT (4)'!$I$5:$I$11</c:f>
              <c:numCache>
                <c:formatCode>General</c:formatCode>
                <c:ptCount val="6"/>
                <c:pt idx="0">
                  <c:v>79956</c:v>
                </c:pt>
                <c:pt idx="2">
                  <c:v>19172</c:v>
                </c:pt>
                <c:pt idx="3">
                  <c:v>122616</c:v>
                </c:pt>
                <c:pt idx="4">
                  <c:v>113496</c:v>
                </c:pt>
              </c:numCache>
            </c:numRef>
          </c:val>
        </c:ser>
        <c:ser>
          <c:idx val="8"/>
          <c:order val="8"/>
          <c:tx>
            <c:strRef>
              <c:f>'RPT (4)'!$J$3:$J$4</c:f>
              <c:strCache>
                <c:ptCount val="1"/>
                <c:pt idx="0">
                  <c:v>9/Jan/2010</c:v>
                </c:pt>
              </c:strCache>
            </c:strRef>
          </c:tx>
          <c:invertIfNegative val="0"/>
          <c:cat>
            <c:strRef>
              <c:f>'RPT (4)'!$A$5:$A$11</c:f>
              <c:strCache>
                <c:ptCount val="6"/>
                <c:pt idx="0">
                  <c:v>Computer</c:v>
                </c:pt>
                <c:pt idx="1">
                  <c:v>Hard Disc</c:v>
                </c:pt>
                <c:pt idx="2">
                  <c:v>Laptop</c:v>
                </c:pt>
                <c:pt idx="3">
                  <c:v>Mobile</c:v>
                </c:pt>
                <c:pt idx="4">
                  <c:v>Table</c:v>
                </c:pt>
                <c:pt idx="5">
                  <c:v>TV</c:v>
                </c:pt>
              </c:strCache>
            </c:strRef>
          </c:cat>
          <c:val>
            <c:numRef>
              <c:f>'RPT (4)'!$J$5:$J$11</c:f>
              <c:numCache>
                <c:formatCode>General</c:formatCode>
                <c:ptCount val="6"/>
                <c:pt idx="0">
                  <c:v>96168</c:v>
                </c:pt>
                <c:pt idx="2">
                  <c:v>22040</c:v>
                </c:pt>
                <c:pt idx="4">
                  <c:v>110572</c:v>
                </c:pt>
                <c:pt idx="5">
                  <c:v>61732</c:v>
                </c:pt>
              </c:numCache>
            </c:numRef>
          </c:val>
        </c:ser>
        <c:ser>
          <c:idx val="9"/>
          <c:order val="9"/>
          <c:tx>
            <c:strRef>
              <c:f>'RPT (4)'!$K$3:$K$4</c:f>
              <c:strCache>
                <c:ptCount val="1"/>
                <c:pt idx="0">
                  <c:v>10/Jan/2010</c:v>
                </c:pt>
              </c:strCache>
            </c:strRef>
          </c:tx>
          <c:invertIfNegative val="0"/>
          <c:cat>
            <c:strRef>
              <c:f>'RPT (4)'!$A$5:$A$11</c:f>
              <c:strCache>
                <c:ptCount val="6"/>
                <c:pt idx="0">
                  <c:v>Computer</c:v>
                </c:pt>
                <c:pt idx="1">
                  <c:v>Hard Disc</c:v>
                </c:pt>
                <c:pt idx="2">
                  <c:v>Laptop</c:v>
                </c:pt>
                <c:pt idx="3">
                  <c:v>Mobile</c:v>
                </c:pt>
                <c:pt idx="4">
                  <c:v>Table</c:v>
                </c:pt>
                <c:pt idx="5">
                  <c:v>TV</c:v>
                </c:pt>
              </c:strCache>
            </c:strRef>
          </c:cat>
          <c:val>
            <c:numRef>
              <c:f>'RPT (4)'!$K$5:$K$11</c:f>
              <c:numCache>
                <c:formatCode>General</c:formatCode>
                <c:ptCount val="6"/>
                <c:pt idx="1">
                  <c:v>82404</c:v>
                </c:pt>
                <c:pt idx="2">
                  <c:v>69180</c:v>
                </c:pt>
                <c:pt idx="4">
                  <c:v>150588</c:v>
                </c:pt>
                <c:pt idx="5">
                  <c:v>33500</c:v>
                </c:pt>
              </c:numCache>
            </c:numRef>
          </c:val>
        </c:ser>
        <c:dLbls>
          <c:showLegendKey val="0"/>
          <c:showVal val="0"/>
          <c:showCatName val="0"/>
          <c:showSerName val="0"/>
          <c:showPercent val="0"/>
          <c:showBubbleSize val="0"/>
        </c:dLbls>
        <c:gapWidth val="100"/>
        <c:axId val="122238976"/>
        <c:axId val="123414208"/>
      </c:barChart>
      <c:catAx>
        <c:axId val="122238976"/>
        <c:scaling>
          <c:orientation val="minMax"/>
        </c:scaling>
        <c:delete val="0"/>
        <c:axPos val="b"/>
        <c:majorTickMark val="out"/>
        <c:minorTickMark val="none"/>
        <c:tickLblPos val="nextTo"/>
        <c:crossAx val="123414208"/>
        <c:crosses val="autoZero"/>
        <c:auto val="1"/>
        <c:lblAlgn val="ctr"/>
        <c:lblOffset val="100"/>
        <c:noMultiLvlLbl val="0"/>
      </c:catAx>
      <c:valAx>
        <c:axId val="123414208"/>
        <c:scaling>
          <c:orientation val="minMax"/>
        </c:scaling>
        <c:delete val="0"/>
        <c:axPos val="l"/>
        <c:majorGridlines/>
        <c:numFmt formatCode="General" sourceLinked="1"/>
        <c:majorTickMark val="out"/>
        <c:minorTickMark val="none"/>
        <c:tickLblPos val="nextTo"/>
        <c:crossAx val="122238976"/>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[Dashboard-1 Project.xlsm]RPT (4)!PivotTable1</c:name>
    <c:fmtId val="3"/>
  </c:pivotSource>
  <c:chart>
    <c:title>
      <c:tx>
        <c:rich>
          <a:bodyPr/>
          <a:lstStyle/>
          <a:p>
            <a:pPr>
              <a:defRPr/>
            </a:pPr>
            <a:r>
              <a:rPr lang="en-US" baseline="0"/>
              <a:t>Date wise Product Total Sale</a:t>
            </a:r>
            <a:endParaRPr lang="en-US"/>
          </a:p>
        </c:rich>
      </c:tx>
      <c:layout>
        <c:manualLayout>
          <c:xMode val="edge"/>
          <c:yMode val="edge"/>
          <c:x val="0.28383588496680284"/>
          <c:y val="0.11934966462525518"/>
        </c:manualLayout>
      </c:layout>
      <c:overlay val="0"/>
    </c:title>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s>
    <c:plotArea>
      <c:layout/>
      <c:barChart>
        <c:barDir val="col"/>
        <c:grouping val="clustered"/>
        <c:varyColors val="0"/>
        <c:ser>
          <c:idx val="0"/>
          <c:order val="0"/>
          <c:tx>
            <c:strRef>
              <c:f>'RPT (4)'!$B$3:$B$4</c:f>
              <c:strCache>
                <c:ptCount val="1"/>
                <c:pt idx="0">
                  <c:v>1/Jan/2010</c:v>
                </c:pt>
              </c:strCache>
            </c:strRef>
          </c:tx>
          <c:invertIfNegative val="0"/>
          <c:cat>
            <c:strRef>
              <c:f>'RPT (4)'!$A$5:$A$11</c:f>
              <c:strCache>
                <c:ptCount val="6"/>
                <c:pt idx="0">
                  <c:v>Computer</c:v>
                </c:pt>
                <c:pt idx="1">
                  <c:v>Hard Disc</c:v>
                </c:pt>
                <c:pt idx="2">
                  <c:v>Laptop</c:v>
                </c:pt>
                <c:pt idx="3">
                  <c:v>Mobile</c:v>
                </c:pt>
                <c:pt idx="4">
                  <c:v>Table</c:v>
                </c:pt>
                <c:pt idx="5">
                  <c:v>TV</c:v>
                </c:pt>
              </c:strCache>
            </c:strRef>
          </c:cat>
          <c:val>
            <c:numRef>
              <c:f>'RPT (4)'!$B$5:$B$11</c:f>
              <c:numCache>
                <c:formatCode>General</c:formatCode>
                <c:ptCount val="6"/>
                <c:pt idx="2">
                  <c:v>66350</c:v>
                </c:pt>
                <c:pt idx="3">
                  <c:v>91980</c:v>
                </c:pt>
                <c:pt idx="4">
                  <c:v>65870</c:v>
                </c:pt>
                <c:pt idx="5">
                  <c:v>87635</c:v>
                </c:pt>
              </c:numCache>
            </c:numRef>
          </c:val>
        </c:ser>
        <c:ser>
          <c:idx val="1"/>
          <c:order val="1"/>
          <c:tx>
            <c:strRef>
              <c:f>'RPT (4)'!$C$3:$C$4</c:f>
              <c:strCache>
                <c:ptCount val="1"/>
                <c:pt idx="0">
                  <c:v>2/Jan/2010</c:v>
                </c:pt>
              </c:strCache>
            </c:strRef>
          </c:tx>
          <c:invertIfNegative val="0"/>
          <c:cat>
            <c:strRef>
              <c:f>'RPT (4)'!$A$5:$A$11</c:f>
              <c:strCache>
                <c:ptCount val="6"/>
                <c:pt idx="0">
                  <c:v>Computer</c:v>
                </c:pt>
                <c:pt idx="1">
                  <c:v>Hard Disc</c:v>
                </c:pt>
                <c:pt idx="2">
                  <c:v>Laptop</c:v>
                </c:pt>
                <c:pt idx="3">
                  <c:v>Mobile</c:v>
                </c:pt>
                <c:pt idx="4">
                  <c:v>Table</c:v>
                </c:pt>
                <c:pt idx="5">
                  <c:v>TV</c:v>
                </c:pt>
              </c:strCache>
            </c:strRef>
          </c:cat>
          <c:val>
            <c:numRef>
              <c:f>'RPT (4)'!$C$5:$C$11</c:f>
              <c:numCache>
                <c:formatCode>General</c:formatCode>
                <c:ptCount val="6"/>
                <c:pt idx="0">
                  <c:v>128065</c:v>
                </c:pt>
                <c:pt idx="1">
                  <c:v>106962</c:v>
                </c:pt>
                <c:pt idx="3">
                  <c:v>79150</c:v>
                </c:pt>
                <c:pt idx="5">
                  <c:v>132154</c:v>
                </c:pt>
              </c:numCache>
            </c:numRef>
          </c:val>
        </c:ser>
        <c:ser>
          <c:idx val="2"/>
          <c:order val="2"/>
          <c:tx>
            <c:strRef>
              <c:f>'RPT (4)'!$D$3:$D$4</c:f>
              <c:strCache>
                <c:ptCount val="1"/>
                <c:pt idx="0">
                  <c:v>3/Jan/2010</c:v>
                </c:pt>
              </c:strCache>
            </c:strRef>
          </c:tx>
          <c:invertIfNegative val="0"/>
          <c:cat>
            <c:strRef>
              <c:f>'RPT (4)'!$A$5:$A$11</c:f>
              <c:strCache>
                <c:ptCount val="6"/>
                <c:pt idx="0">
                  <c:v>Computer</c:v>
                </c:pt>
                <c:pt idx="1">
                  <c:v>Hard Disc</c:v>
                </c:pt>
                <c:pt idx="2">
                  <c:v>Laptop</c:v>
                </c:pt>
                <c:pt idx="3">
                  <c:v>Mobile</c:v>
                </c:pt>
                <c:pt idx="4">
                  <c:v>Table</c:v>
                </c:pt>
                <c:pt idx="5">
                  <c:v>TV</c:v>
                </c:pt>
              </c:strCache>
            </c:strRef>
          </c:cat>
          <c:val>
            <c:numRef>
              <c:f>'RPT (4)'!$D$5:$D$11</c:f>
              <c:numCache>
                <c:formatCode>General</c:formatCode>
                <c:ptCount val="6"/>
                <c:pt idx="0">
                  <c:v>113449</c:v>
                </c:pt>
                <c:pt idx="2">
                  <c:v>57780</c:v>
                </c:pt>
                <c:pt idx="3">
                  <c:v>117092</c:v>
                </c:pt>
                <c:pt idx="4">
                  <c:v>104735</c:v>
                </c:pt>
              </c:numCache>
            </c:numRef>
          </c:val>
        </c:ser>
        <c:ser>
          <c:idx val="3"/>
          <c:order val="3"/>
          <c:tx>
            <c:strRef>
              <c:f>'RPT (4)'!$E$3:$E$4</c:f>
              <c:strCache>
                <c:ptCount val="1"/>
                <c:pt idx="0">
                  <c:v>4/Jan/2010</c:v>
                </c:pt>
              </c:strCache>
            </c:strRef>
          </c:tx>
          <c:invertIfNegative val="0"/>
          <c:cat>
            <c:strRef>
              <c:f>'RPT (4)'!$A$5:$A$11</c:f>
              <c:strCache>
                <c:ptCount val="6"/>
                <c:pt idx="0">
                  <c:v>Computer</c:v>
                </c:pt>
                <c:pt idx="1">
                  <c:v>Hard Disc</c:v>
                </c:pt>
                <c:pt idx="2">
                  <c:v>Laptop</c:v>
                </c:pt>
                <c:pt idx="3">
                  <c:v>Mobile</c:v>
                </c:pt>
                <c:pt idx="4">
                  <c:v>Table</c:v>
                </c:pt>
                <c:pt idx="5">
                  <c:v>TV</c:v>
                </c:pt>
              </c:strCache>
            </c:strRef>
          </c:cat>
          <c:val>
            <c:numRef>
              <c:f>'RPT (4)'!$E$5:$E$11</c:f>
              <c:numCache>
                <c:formatCode>General</c:formatCode>
                <c:ptCount val="6"/>
                <c:pt idx="0">
                  <c:v>53818</c:v>
                </c:pt>
                <c:pt idx="2">
                  <c:v>89834</c:v>
                </c:pt>
                <c:pt idx="4">
                  <c:v>148242</c:v>
                </c:pt>
                <c:pt idx="5">
                  <c:v>72460</c:v>
                </c:pt>
              </c:numCache>
            </c:numRef>
          </c:val>
        </c:ser>
        <c:ser>
          <c:idx val="4"/>
          <c:order val="4"/>
          <c:tx>
            <c:strRef>
              <c:f>'RPT (4)'!$F$3:$F$4</c:f>
              <c:strCache>
                <c:ptCount val="1"/>
                <c:pt idx="0">
                  <c:v>5/Jan/2010</c:v>
                </c:pt>
              </c:strCache>
            </c:strRef>
          </c:tx>
          <c:invertIfNegative val="0"/>
          <c:cat>
            <c:strRef>
              <c:f>'RPT (4)'!$A$5:$A$11</c:f>
              <c:strCache>
                <c:ptCount val="6"/>
                <c:pt idx="0">
                  <c:v>Computer</c:v>
                </c:pt>
                <c:pt idx="1">
                  <c:v>Hard Disc</c:v>
                </c:pt>
                <c:pt idx="2">
                  <c:v>Laptop</c:v>
                </c:pt>
                <c:pt idx="3">
                  <c:v>Mobile</c:v>
                </c:pt>
                <c:pt idx="4">
                  <c:v>Table</c:v>
                </c:pt>
                <c:pt idx="5">
                  <c:v>TV</c:v>
                </c:pt>
              </c:strCache>
            </c:strRef>
          </c:cat>
          <c:val>
            <c:numRef>
              <c:f>'RPT (4)'!$F$5:$F$11</c:f>
              <c:numCache>
                <c:formatCode>General</c:formatCode>
                <c:ptCount val="6"/>
                <c:pt idx="1">
                  <c:v>150136</c:v>
                </c:pt>
                <c:pt idx="2">
                  <c:v>114645</c:v>
                </c:pt>
                <c:pt idx="4">
                  <c:v>133178</c:v>
                </c:pt>
                <c:pt idx="5">
                  <c:v>111624</c:v>
                </c:pt>
              </c:numCache>
            </c:numRef>
          </c:val>
        </c:ser>
        <c:ser>
          <c:idx val="5"/>
          <c:order val="5"/>
          <c:tx>
            <c:strRef>
              <c:f>'RPT (4)'!$G$3:$G$4</c:f>
              <c:strCache>
                <c:ptCount val="1"/>
                <c:pt idx="0">
                  <c:v>6/Jan/2010</c:v>
                </c:pt>
              </c:strCache>
            </c:strRef>
          </c:tx>
          <c:invertIfNegative val="0"/>
          <c:cat>
            <c:strRef>
              <c:f>'RPT (4)'!$A$5:$A$11</c:f>
              <c:strCache>
                <c:ptCount val="6"/>
                <c:pt idx="0">
                  <c:v>Computer</c:v>
                </c:pt>
                <c:pt idx="1">
                  <c:v>Hard Disc</c:v>
                </c:pt>
                <c:pt idx="2">
                  <c:v>Laptop</c:v>
                </c:pt>
                <c:pt idx="3">
                  <c:v>Mobile</c:v>
                </c:pt>
                <c:pt idx="4">
                  <c:v>Table</c:v>
                </c:pt>
                <c:pt idx="5">
                  <c:v>TV</c:v>
                </c:pt>
              </c:strCache>
            </c:strRef>
          </c:cat>
          <c:val>
            <c:numRef>
              <c:f>'RPT (4)'!$G$5:$G$11</c:f>
              <c:numCache>
                <c:formatCode>General</c:formatCode>
                <c:ptCount val="6"/>
                <c:pt idx="2">
                  <c:v>31760</c:v>
                </c:pt>
                <c:pt idx="3">
                  <c:v>102080</c:v>
                </c:pt>
                <c:pt idx="4">
                  <c:v>147168</c:v>
                </c:pt>
                <c:pt idx="5">
                  <c:v>83204</c:v>
                </c:pt>
              </c:numCache>
            </c:numRef>
          </c:val>
        </c:ser>
        <c:ser>
          <c:idx val="6"/>
          <c:order val="6"/>
          <c:tx>
            <c:strRef>
              <c:f>'RPT (4)'!$H$3:$H$4</c:f>
              <c:strCache>
                <c:ptCount val="1"/>
                <c:pt idx="0">
                  <c:v>7/Jan/2010</c:v>
                </c:pt>
              </c:strCache>
            </c:strRef>
          </c:tx>
          <c:invertIfNegative val="0"/>
          <c:cat>
            <c:strRef>
              <c:f>'RPT (4)'!$A$5:$A$11</c:f>
              <c:strCache>
                <c:ptCount val="6"/>
                <c:pt idx="0">
                  <c:v>Computer</c:v>
                </c:pt>
                <c:pt idx="1">
                  <c:v>Hard Disc</c:v>
                </c:pt>
                <c:pt idx="2">
                  <c:v>Laptop</c:v>
                </c:pt>
                <c:pt idx="3">
                  <c:v>Mobile</c:v>
                </c:pt>
                <c:pt idx="4">
                  <c:v>Table</c:v>
                </c:pt>
                <c:pt idx="5">
                  <c:v>TV</c:v>
                </c:pt>
              </c:strCache>
            </c:strRef>
          </c:cat>
          <c:val>
            <c:numRef>
              <c:f>'RPT (4)'!$H$5:$H$11</c:f>
              <c:numCache>
                <c:formatCode>General</c:formatCode>
                <c:ptCount val="6"/>
                <c:pt idx="0">
                  <c:v>100608</c:v>
                </c:pt>
                <c:pt idx="1">
                  <c:v>75930</c:v>
                </c:pt>
                <c:pt idx="3">
                  <c:v>84690</c:v>
                </c:pt>
                <c:pt idx="5">
                  <c:v>147520</c:v>
                </c:pt>
              </c:numCache>
            </c:numRef>
          </c:val>
        </c:ser>
        <c:ser>
          <c:idx val="7"/>
          <c:order val="7"/>
          <c:tx>
            <c:strRef>
              <c:f>'RPT (4)'!$I$3:$I$4</c:f>
              <c:strCache>
                <c:ptCount val="1"/>
                <c:pt idx="0">
                  <c:v>8/Jan/2010</c:v>
                </c:pt>
              </c:strCache>
            </c:strRef>
          </c:tx>
          <c:invertIfNegative val="0"/>
          <c:cat>
            <c:strRef>
              <c:f>'RPT (4)'!$A$5:$A$11</c:f>
              <c:strCache>
                <c:ptCount val="6"/>
                <c:pt idx="0">
                  <c:v>Computer</c:v>
                </c:pt>
                <c:pt idx="1">
                  <c:v>Hard Disc</c:v>
                </c:pt>
                <c:pt idx="2">
                  <c:v>Laptop</c:v>
                </c:pt>
                <c:pt idx="3">
                  <c:v>Mobile</c:v>
                </c:pt>
                <c:pt idx="4">
                  <c:v>Table</c:v>
                </c:pt>
                <c:pt idx="5">
                  <c:v>TV</c:v>
                </c:pt>
              </c:strCache>
            </c:strRef>
          </c:cat>
          <c:val>
            <c:numRef>
              <c:f>'RPT (4)'!$I$5:$I$11</c:f>
              <c:numCache>
                <c:formatCode>General</c:formatCode>
                <c:ptCount val="6"/>
                <c:pt idx="0">
                  <c:v>79956</c:v>
                </c:pt>
                <c:pt idx="2">
                  <c:v>19172</c:v>
                </c:pt>
                <c:pt idx="3">
                  <c:v>122616</c:v>
                </c:pt>
                <c:pt idx="4">
                  <c:v>113496</c:v>
                </c:pt>
              </c:numCache>
            </c:numRef>
          </c:val>
        </c:ser>
        <c:ser>
          <c:idx val="8"/>
          <c:order val="8"/>
          <c:tx>
            <c:strRef>
              <c:f>'RPT (4)'!$J$3:$J$4</c:f>
              <c:strCache>
                <c:ptCount val="1"/>
                <c:pt idx="0">
                  <c:v>9/Jan/2010</c:v>
                </c:pt>
              </c:strCache>
            </c:strRef>
          </c:tx>
          <c:invertIfNegative val="0"/>
          <c:cat>
            <c:strRef>
              <c:f>'RPT (4)'!$A$5:$A$11</c:f>
              <c:strCache>
                <c:ptCount val="6"/>
                <c:pt idx="0">
                  <c:v>Computer</c:v>
                </c:pt>
                <c:pt idx="1">
                  <c:v>Hard Disc</c:v>
                </c:pt>
                <c:pt idx="2">
                  <c:v>Laptop</c:v>
                </c:pt>
                <c:pt idx="3">
                  <c:v>Mobile</c:v>
                </c:pt>
                <c:pt idx="4">
                  <c:v>Table</c:v>
                </c:pt>
                <c:pt idx="5">
                  <c:v>TV</c:v>
                </c:pt>
              </c:strCache>
            </c:strRef>
          </c:cat>
          <c:val>
            <c:numRef>
              <c:f>'RPT (4)'!$J$5:$J$11</c:f>
              <c:numCache>
                <c:formatCode>General</c:formatCode>
                <c:ptCount val="6"/>
                <c:pt idx="0">
                  <c:v>96168</c:v>
                </c:pt>
                <c:pt idx="2">
                  <c:v>22040</c:v>
                </c:pt>
                <c:pt idx="4">
                  <c:v>110572</c:v>
                </c:pt>
                <c:pt idx="5">
                  <c:v>61732</c:v>
                </c:pt>
              </c:numCache>
            </c:numRef>
          </c:val>
        </c:ser>
        <c:ser>
          <c:idx val="9"/>
          <c:order val="9"/>
          <c:tx>
            <c:strRef>
              <c:f>'RPT (4)'!$K$3:$K$4</c:f>
              <c:strCache>
                <c:ptCount val="1"/>
                <c:pt idx="0">
                  <c:v>10/Jan/2010</c:v>
                </c:pt>
              </c:strCache>
            </c:strRef>
          </c:tx>
          <c:invertIfNegative val="0"/>
          <c:cat>
            <c:strRef>
              <c:f>'RPT (4)'!$A$5:$A$11</c:f>
              <c:strCache>
                <c:ptCount val="6"/>
                <c:pt idx="0">
                  <c:v>Computer</c:v>
                </c:pt>
                <c:pt idx="1">
                  <c:v>Hard Disc</c:v>
                </c:pt>
                <c:pt idx="2">
                  <c:v>Laptop</c:v>
                </c:pt>
                <c:pt idx="3">
                  <c:v>Mobile</c:v>
                </c:pt>
                <c:pt idx="4">
                  <c:v>Table</c:v>
                </c:pt>
                <c:pt idx="5">
                  <c:v>TV</c:v>
                </c:pt>
              </c:strCache>
            </c:strRef>
          </c:cat>
          <c:val>
            <c:numRef>
              <c:f>'RPT (4)'!$K$5:$K$11</c:f>
              <c:numCache>
                <c:formatCode>General</c:formatCode>
                <c:ptCount val="6"/>
                <c:pt idx="1">
                  <c:v>82404</c:v>
                </c:pt>
                <c:pt idx="2">
                  <c:v>69180</c:v>
                </c:pt>
                <c:pt idx="4">
                  <c:v>150588</c:v>
                </c:pt>
                <c:pt idx="5">
                  <c:v>33500</c:v>
                </c:pt>
              </c:numCache>
            </c:numRef>
          </c:val>
        </c:ser>
        <c:dLbls>
          <c:showLegendKey val="0"/>
          <c:showVal val="0"/>
          <c:showCatName val="0"/>
          <c:showSerName val="0"/>
          <c:showPercent val="0"/>
          <c:showBubbleSize val="0"/>
        </c:dLbls>
        <c:gapWidth val="100"/>
        <c:axId val="122647552"/>
        <c:axId val="123415936"/>
      </c:barChart>
      <c:catAx>
        <c:axId val="122647552"/>
        <c:scaling>
          <c:orientation val="minMax"/>
        </c:scaling>
        <c:delete val="0"/>
        <c:axPos val="b"/>
        <c:majorTickMark val="out"/>
        <c:minorTickMark val="none"/>
        <c:tickLblPos val="nextTo"/>
        <c:crossAx val="123415936"/>
        <c:crosses val="autoZero"/>
        <c:auto val="1"/>
        <c:lblAlgn val="ctr"/>
        <c:lblOffset val="100"/>
        <c:noMultiLvlLbl val="0"/>
      </c:catAx>
      <c:valAx>
        <c:axId val="123415936"/>
        <c:scaling>
          <c:orientation val="minMax"/>
        </c:scaling>
        <c:delete val="0"/>
        <c:axPos val="l"/>
        <c:majorGridlines/>
        <c:numFmt formatCode="General" sourceLinked="1"/>
        <c:majorTickMark val="out"/>
        <c:minorTickMark val="none"/>
        <c:tickLblPos val="nextTo"/>
        <c:crossAx val="12264755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[Dashboard-1 Project.xlsm]RPT (3)!PivotTable1</c:name>
    <c:fmtId val="2"/>
  </c:pivotSource>
  <c:chart>
    <c:title>
      <c:tx>
        <c:rich>
          <a:bodyPr/>
          <a:lstStyle/>
          <a:p>
            <a:pPr>
              <a:defRPr/>
            </a:pPr>
            <a:r>
              <a:rPr lang="en-US"/>
              <a:t>Area</a:t>
            </a:r>
            <a:r>
              <a:rPr lang="en-US" baseline="0"/>
              <a:t> wise Product Qty</a:t>
            </a:r>
            <a:endParaRPr lang="en-US"/>
          </a:p>
        </c:rich>
      </c:tx>
      <c:overlay val="0"/>
    </c:title>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s>
    <c:plotArea>
      <c:layout/>
      <c:barChart>
        <c:barDir val="bar"/>
        <c:grouping val="clustered"/>
        <c:varyColors val="0"/>
        <c:ser>
          <c:idx val="0"/>
          <c:order val="0"/>
          <c:tx>
            <c:strRef>
              <c:f>'RPT (3)'!$B$3:$B$4</c:f>
              <c:strCache>
                <c:ptCount val="1"/>
                <c:pt idx="0">
                  <c:v>Computer</c:v>
                </c:pt>
              </c:strCache>
            </c:strRef>
          </c:tx>
          <c:invertIfNegative val="0"/>
          <c:cat>
            <c:strRef>
              <c:f>'RPT (3)'!$A$5:$A$9</c:f>
              <c:strCache>
                <c:ptCount val="4"/>
                <c:pt idx="0">
                  <c:v>East</c:v>
                </c:pt>
                <c:pt idx="1">
                  <c:v>North</c:v>
                </c:pt>
                <c:pt idx="2">
                  <c:v>South</c:v>
                </c:pt>
                <c:pt idx="3">
                  <c:v>West</c:v>
                </c:pt>
              </c:strCache>
            </c:strRef>
          </c:cat>
          <c:val>
            <c:numRef>
              <c:f>'RPT (3)'!$B$5:$B$9</c:f>
              <c:numCache>
                <c:formatCode>General</c:formatCode>
                <c:ptCount val="4"/>
                <c:pt idx="0">
                  <c:v>71</c:v>
                </c:pt>
                <c:pt idx="1">
                  <c:v>54</c:v>
                </c:pt>
                <c:pt idx="3">
                  <c:v>48</c:v>
                </c:pt>
              </c:numCache>
            </c:numRef>
          </c:val>
        </c:ser>
        <c:ser>
          <c:idx val="1"/>
          <c:order val="1"/>
          <c:tx>
            <c:strRef>
              <c:f>'RPT (3)'!$C$3:$C$4</c:f>
              <c:strCache>
                <c:ptCount val="1"/>
                <c:pt idx="0">
                  <c:v>Hard Disc</c:v>
                </c:pt>
              </c:strCache>
            </c:strRef>
          </c:tx>
          <c:invertIfNegative val="0"/>
          <c:cat>
            <c:strRef>
              <c:f>'RPT (3)'!$A$5:$A$9</c:f>
              <c:strCache>
                <c:ptCount val="4"/>
                <c:pt idx="0">
                  <c:v>East</c:v>
                </c:pt>
                <c:pt idx="1">
                  <c:v>North</c:v>
                </c:pt>
                <c:pt idx="2">
                  <c:v>South</c:v>
                </c:pt>
                <c:pt idx="3">
                  <c:v>West</c:v>
                </c:pt>
              </c:strCache>
            </c:strRef>
          </c:cat>
          <c:val>
            <c:numRef>
              <c:f>'RPT (3)'!$C$5:$C$9</c:f>
              <c:numCache>
                <c:formatCode>General</c:formatCode>
                <c:ptCount val="4"/>
                <c:pt idx="0">
                  <c:v>73</c:v>
                </c:pt>
                <c:pt idx="2">
                  <c:v>60</c:v>
                </c:pt>
              </c:numCache>
            </c:numRef>
          </c:val>
        </c:ser>
        <c:ser>
          <c:idx val="2"/>
          <c:order val="2"/>
          <c:tx>
            <c:strRef>
              <c:f>'RPT (3)'!$D$3:$D$4</c:f>
              <c:strCache>
                <c:ptCount val="1"/>
                <c:pt idx="0">
                  <c:v>Laptop</c:v>
                </c:pt>
              </c:strCache>
            </c:strRef>
          </c:tx>
          <c:invertIfNegative val="0"/>
          <c:cat>
            <c:strRef>
              <c:f>'RPT (3)'!$A$5:$A$9</c:f>
              <c:strCache>
                <c:ptCount val="4"/>
                <c:pt idx="0">
                  <c:v>East</c:v>
                </c:pt>
                <c:pt idx="1">
                  <c:v>North</c:v>
                </c:pt>
                <c:pt idx="2">
                  <c:v>South</c:v>
                </c:pt>
                <c:pt idx="3">
                  <c:v>West</c:v>
                </c:pt>
              </c:strCache>
            </c:strRef>
          </c:cat>
          <c:val>
            <c:numRef>
              <c:f>'RPT (3)'!$D$5:$D$9</c:f>
              <c:numCache>
                <c:formatCode>General</c:formatCode>
                <c:ptCount val="4"/>
                <c:pt idx="1">
                  <c:v>81</c:v>
                </c:pt>
                <c:pt idx="3">
                  <c:v>45</c:v>
                </c:pt>
              </c:numCache>
            </c:numRef>
          </c:val>
        </c:ser>
        <c:ser>
          <c:idx val="3"/>
          <c:order val="3"/>
          <c:tx>
            <c:strRef>
              <c:f>'RPT (3)'!$E$3:$E$4</c:f>
              <c:strCache>
                <c:ptCount val="1"/>
                <c:pt idx="0">
                  <c:v>Mobile</c:v>
                </c:pt>
              </c:strCache>
            </c:strRef>
          </c:tx>
          <c:invertIfNegative val="0"/>
          <c:cat>
            <c:strRef>
              <c:f>'RPT (3)'!$A$5:$A$9</c:f>
              <c:strCache>
                <c:ptCount val="4"/>
                <c:pt idx="0">
                  <c:v>East</c:v>
                </c:pt>
                <c:pt idx="1">
                  <c:v>North</c:v>
                </c:pt>
                <c:pt idx="2">
                  <c:v>South</c:v>
                </c:pt>
                <c:pt idx="3">
                  <c:v>West</c:v>
                </c:pt>
              </c:strCache>
            </c:strRef>
          </c:cat>
          <c:val>
            <c:numRef>
              <c:f>'RPT (3)'!$E$5:$E$9</c:f>
              <c:numCache>
                <c:formatCode>General</c:formatCode>
                <c:ptCount val="4"/>
                <c:pt idx="0">
                  <c:v>58</c:v>
                </c:pt>
                <c:pt idx="2">
                  <c:v>55</c:v>
                </c:pt>
                <c:pt idx="3">
                  <c:v>57</c:v>
                </c:pt>
              </c:numCache>
            </c:numRef>
          </c:val>
        </c:ser>
        <c:ser>
          <c:idx val="4"/>
          <c:order val="4"/>
          <c:tx>
            <c:strRef>
              <c:f>'RPT (3)'!$F$3:$F$4</c:f>
              <c:strCache>
                <c:ptCount val="1"/>
                <c:pt idx="0">
                  <c:v>Table</c:v>
                </c:pt>
              </c:strCache>
            </c:strRef>
          </c:tx>
          <c:invertIfNegative val="0"/>
          <c:cat>
            <c:strRef>
              <c:f>'RPT (3)'!$A$5:$A$9</c:f>
              <c:strCache>
                <c:ptCount val="4"/>
                <c:pt idx="0">
                  <c:v>East</c:v>
                </c:pt>
                <c:pt idx="1">
                  <c:v>North</c:v>
                </c:pt>
                <c:pt idx="2">
                  <c:v>South</c:v>
                </c:pt>
                <c:pt idx="3">
                  <c:v>West</c:v>
                </c:pt>
              </c:strCache>
            </c:strRef>
          </c:cat>
          <c:val>
            <c:numRef>
              <c:f>'RPT (3)'!$F$5:$F$9</c:f>
              <c:numCache>
                <c:formatCode>General</c:formatCode>
                <c:ptCount val="4"/>
                <c:pt idx="0">
                  <c:v>70</c:v>
                </c:pt>
                <c:pt idx="1">
                  <c:v>75</c:v>
                </c:pt>
                <c:pt idx="2">
                  <c:v>57</c:v>
                </c:pt>
                <c:pt idx="3">
                  <c:v>61</c:v>
                </c:pt>
              </c:numCache>
            </c:numRef>
          </c:val>
        </c:ser>
        <c:ser>
          <c:idx val="5"/>
          <c:order val="5"/>
          <c:tx>
            <c:strRef>
              <c:f>'RPT (3)'!$G$3:$G$4</c:f>
              <c:strCache>
                <c:ptCount val="1"/>
                <c:pt idx="0">
                  <c:v>TV</c:v>
                </c:pt>
              </c:strCache>
            </c:strRef>
          </c:tx>
          <c:invertIfNegative val="0"/>
          <c:cat>
            <c:strRef>
              <c:f>'RPT (3)'!$A$5:$A$9</c:f>
              <c:strCache>
                <c:ptCount val="4"/>
                <c:pt idx="0">
                  <c:v>East</c:v>
                </c:pt>
                <c:pt idx="1">
                  <c:v>North</c:v>
                </c:pt>
                <c:pt idx="2">
                  <c:v>South</c:v>
                </c:pt>
                <c:pt idx="3">
                  <c:v>West</c:v>
                </c:pt>
              </c:strCache>
            </c:strRef>
          </c:cat>
          <c:val>
            <c:numRef>
              <c:f>'RPT (3)'!$G$5:$G$9</c:f>
              <c:numCache>
                <c:formatCode>General</c:formatCode>
                <c:ptCount val="4"/>
                <c:pt idx="0">
                  <c:v>70</c:v>
                </c:pt>
                <c:pt idx="2">
                  <c:v>79</c:v>
                </c:pt>
                <c:pt idx="3">
                  <c:v>55</c:v>
                </c:pt>
              </c:numCache>
            </c:numRef>
          </c:val>
        </c:ser>
        <c:dLbls>
          <c:showLegendKey val="0"/>
          <c:showVal val="0"/>
          <c:showCatName val="0"/>
          <c:showSerName val="0"/>
          <c:showPercent val="0"/>
          <c:showBubbleSize val="0"/>
        </c:dLbls>
        <c:gapWidth val="100"/>
        <c:axId val="122649600"/>
        <c:axId val="123417664"/>
      </c:barChart>
      <c:valAx>
        <c:axId val="123417664"/>
        <c:scaling>
          <c:orientation val="minMax"/>
        </c:scaling>
        <c:delete val="0"/>
        <c:axPos val="b"/>
        <c:majorGridlines/>
        <c:numFmt formatCode="General" sourceLinked="1"/>
        <c:majorTickMark val="out"/>
        <c:minorTickMark val="none"/>
        <c:tickLblPos val="nextTo"/>
        <c:crossAx val="122649600"/>
        <c:crosses val="autoZero"/>
        <c:crossBetween val="between"/>
      </c:valAx>
      <c:catAx>
        <c:axId val="122649600"/>
        <c:scaling>
          <c:orientation val="minMax"/>
        </c:scaling>
        <c:delete val="0"/>
        <c:axPos val="l"/>
        <c:majorTickMark val="out"/>
        <c:minorTickMark val="none"/>
        <c:tickLblPos val="nextTo"/>
        <c:crossAx val="123417664"/>
        <c:crosses val="autoZero"/>
        <c:auto val="1"/>
        <c:lblAlgn val="ctr"/>
        <c:lblOffset val="100"/>
        <c:noMultiLvlLbl val="0"/>
      </c:catAx>
    </c:plotArea>
    <c:legend>
      <c:legendPos val="r"/>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[Dashboard-1 Project.xlsm]RPT (2)!PivotTable1</c:name>
    <c:fmtId val="1"/>
  </c:pivotSource>
  <c:chart>
    <c:title>
      <c:tx>
        <c:rich>
          <a:bodyPr/>
          <a:lstStyle/>
          <a:p>
            <a:pPr>
              <a:defRPr/>
            </a:pPr>
            <a:r>
              <a:rPr lang="en-US" baseline="0"/>
              <a:t>Product wise Total Sale</a:t>
            </a:r>
            <a:endParaRPr lang="en-US"/>
          </a:p>
        </c:rich>
      </c:tx>
      <c:overlay val="0"/>
    </c:title>
    <c:autoTitleDeleted val="0"/>
    <c:pivotFmts>
      <c:pivotFmt>
        <c:idx val="0"/>
        <c:marker>
          <c:symbol val="none"/>
        </c:marker>
      </c:pivotFmt>
      <c:pivotFmt>
        <c:idx val="1"/>
        <c:marker>
          <c:symbol val="none"/>
        </c:marker>
      </c:pivotFmt>
    </c:pivotFmts>
    <c:view3D>
      <c:rotX val="75"/>
      <c:rotY val="0"/>
      <c:rAngAx val="0"/>
      <c:perspective val="30"/>
    </c:view3D>
    <c:floor>
      <c:thickness val="0"/>
    </c:floor>
    <c:sideWall>
      <c:thickness val="0"/>
    </c:sideWall>
    <c:backWall>
      <c:thickness val="0"/>
    </c:backWall>
    <c:plotArea>
      <c:layout/>
      <c:pie3DChart>
        <c:varyColors val="1"/>
        <c:ser>
          <c:idx val="0"/>
          <c:order val="0"/>
          <c:tx>
            <c:strRef>
              <c:f>'RPT (2)'!$B$3</c:f>
              <c:strCache>
                <c:ptCount val="1"/>
                <c:pt idx="0">
                  <c:v>Total</c:v>
                </c:pt>
              </c:strCache>
            </c:strRef>
          </c:tx>
          <c:cat>
            <c:strRef>
              <c:f>'RPT (2)'!$A$4:$A$10</c:f>
              <c:strCache>
                <c:ptCount val="6"/>
                <c:pt idx="0">
                  <c:v>Computer</c:v>
                </c:pt>
                <c:pt idx="1">
                  <c:v>Hard Disc</c:v>
                </c:pt>
                <c:pt idx="2">
                  <c:v>Laptop</c:v>
                </c:pt>
                <c:pt idx="3">
                  <c:v>Mobile</c:v>
                </c:pt>
                <c:pt idx="4">
                  <c:v>Table</c:v>
                </c:pt>
                <c:pt idx="5">
                  <c:v>TV</c:v>
                </c:pt>
              </c:strCache>
            </c:strRef>
          </c:cat>
          <c:val>
            <c:numRef>
              <c:f>'RPT (2)'!$B$4:$B$10</c:f>
              <c:numCache>
                <c:formatCode>General</c:formatCode>
                <c:ptCount val="6"/>
                <c:pt idx="0">
                  <c:v>572064</c:v>
                </c:pt>
                <c:pt idx="1">
                  <c:v>415432</c:v>
                </c:pt>
                <c:pt idx="2">
                  <c:v>470761</c:v>
                </c:pt>
                <c:pt idx="3">
                  <c:v>597608</c:v>
                </c:pt>
                <c:pt idx="4">
                  <c:v>973849</c:v>
                </c:pt>
                <c:pt idx="5">
                  <c:v>729829</c:v>
                </c:pt>
              </c:numCache>
            </c:numRef>
          </c:val>
        </c:ser>
        <c:dLbls>
          <c:showLegendKey val="0"/>
          <c:showVal val="0"/>
          <c:showCatName val="0"/>
          <c:showSerName val="0"/>
          <c:showPercent val="0"/>
          <c:showBubbleSize val="0"/>
          <c:showLeaderLines val="1"/>
        </c:dLbls>
      </c:pie3DChart>
    </c:plotArea>
    <c:legend>
      <c:legendPos val="r"/>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[Dashboard-1 Project.xlsm]RPT!PivotTable1</c:name>
    <c:fmtId val="0"/>
  </c:pivotSource>
  <c:chart>
    <c:title>
      <c:tx>
        <c:rich>
          <a:bodyPr/>
          <a:lstStyle/>
          <a:p>
            <a:pPr>
              <a:defRPr/>
            </a:pPr>
            <a:r>
              <a:rPr lang="en-US"/>
              <a:t>Area</a:t>
            </a:r>
            <a:r>
              <a:rPr lang="en-US" baseline="0"/>
              <a:t> wise Total Sale</a:t>
            </a:r>
            <a:endParaRPr lang="en-US"/>
          </a:p>
        </c:rich>
      </c:tx>
      <c:overlay val="0"/>
    </c:title>
    <c:autoTitleDeleted val="0"/>
    <c:pivotFmts>
      <c:pivotFmt>
        <c:idx val="0"/>
        <c:marker>
          <c:symbol val="none"/>
        </c:marker>
      </c:pivotFmt>
    </c:pivotFmts>
    <c:plotArea>
      <c:layout/>
      <c:doughnutChart>
        <c:varyColors val="1"/>
        <c:ser>
          <c:idx val="0"/>
          <c:order val="0"/>
          <c:tx>
            <c:strRef>
              <c:f>RPT!$B$3</c:f>
              <c:strCache>
                <c:ptCount val="1"/>
                <c:pt idx="0">
                  <c:v>Total</c:v>
                </c:pt>
              </c:strCache>
            </c:strRef>
          </c:tx>
          <c:cat>
            <c:strRef>
              <c:f>RPT!$A$4:$A$8</c:f>
              <c:strCache>
                <c:ptCount val="4"/>
                <c:pt idx="0">
                  <c:v>East</c:v>
                </c:pt>
                <c:pt idx="1">
                  <c:v>North</c:v>
                </c:pt>
                <c:pt idx="2">
                  <c:v>South</c:v>
                </c:pt>
                <c:pt idx="3">
                  <c:v>West</c:v>
                </c:pt>
              </c:strCache>
            </c:strRef>
          </c:cat>
          <c:val>
            <c:numRef>
              <c:f>RPT!$B$4:$B$8</c:f>
              <c:numCache>
                <c:formatCode>General</c:formatCode>
                <c:ptCount val="4"/>
                <c:pt idx="0">
                  <c:v>1158493</c:v>
                </c:pt>
                <c:pt idx="1">
                  <c:v>799375</c:v>
                </c:pt>
                <c:pt idx="2">
                  <c:v>914954</c:v>
                </c:pt>
                <c:pt idx="3">
                  <c:v>886721</c:v>
                </c:pt>
              </c:numCache>
            </c:numRef>
          </c:val>
        </c:ser>
        <c:dLbls>
          <c:showLegendKey val="0"/>
          <c:showVal val="0"/>
          <c:showCatName val="0"/>
          <c:showSerName val="0"/>
          <c:showPercent val="0"/>
          <c:showBubbleSize val="0"/>
          <c:showLeaderLines val="1"/>
        </c:dLbls>
        <c:firstSliceAng val="0"/>
        <c:holeSize val="50"/>
      </c:doughnutChart>
    </c:plotArea>
    <c:legend>
      <c:legendPos val="r"/>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5.xml"/></Relationships>
</file>

<file path=xl/drawings/_rels/drawing3.xml.rels><?xml version="1.0" encoding="UTF-8" standalone="yes"?>
<Relationships xmlns="http://schemas.openxmlformats.org/package/2006/relationships"><Relationship Id="rId1" Type="http://schemas.openxmlformats.org/officeDocument/2006/relationships/chart" Target="../charts/chart6.xml"/></Relationships>
</file>

<file path=xl/drawings/_rels/drawing4.xml.rels><?xml version="1.0" encoding="UTF-8" standalone="yes"?>
<Relationships xmlns="http://schemas.openxmlformats.org/package/2006/relationships"><Relationship Id="rId1" Type="http://schemas.openxmlformats.org/officeDocument/2006/relationships/chart" Target="../charts/chart7.xml"/></Relationships>
</file>

<file path=xl/drawings/_rels/drawing5.xml.rels><?xml version="1.0" encoding="UTF-8" standalone="yes"?>
<Relationships xmlns="http://schemas.openxmlformats.org/package/2006/relationships"><Relationship Id="rId1"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8</xdr:col>
      <xdr:colOff>152400</xdr:colOff>
      <xdr:row>11</xdr:row>
      <xdr:rowOff>76200</xdr:rowOff>
    </xdr:from>
    <xdr:to>
      <xdr:col>16</xdr:col>
      <xdr:colOff>315600</xdr:colOff>
      <xdr:row>22</xdr:row>
      <xdr:rowOff>140700</xdr:rowOff>
    </xdr:to>
    <xdr:graphicFrame macro="">
      <xdr:nvGraphicFramePr>
        <xdr:cNvPr id="31" name="Chart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152400</xdr:colOff>
      <xdr:row>0</xdr:row>
      <xdr:rowOff>0</xdr:rowOff>
    </xdr:from>
    <xdr:to>
      <xdr:col>16</xdr:col>
      <xdr:colOff>315600</xdr:colOff>
      <xdr:row>11</xdr:row>
      <xdr:rowOff>64500</xdr:rowOff>
    </xdr:to>
    <xdr:graphicFrame macro="">
      <xdr:nvGraphicFramePr>
        <xdr:cNvPr id="32" name="Chart 3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11</xdr:row>
      <xdr:rowOff>76200</xdr:rowOff>
    </xdr:from>
    <xdr:to>
      <xdr:col>8</xdr:col>
      <xdr:colOff>163200</xdr:colOff>
      <xdr:row>22</xdr:row>
      <xdr:rowOff>140700</xdr:rowOff>
    </xdr:to>
    <xdr:graphicFrame macro="">
      <xdr:nvGraphicFramePr>
        <xdr:cNvPr id="33" name="Chart 3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0</xdr:row>
      <xdr:rowOff>0</xdr:rowOff>
    </xdr:from>
    <xdr:to>
      <xdr:col>8</xdr:col>
      <xdr:colOff>163200</xdr:colOff>
      <xdr:row>11</xdr:row>
      <xdr:rowOff>64500</xdr:rowOff>
    </xdr:to>
    <xdr:graphicFrame macro="">
      <xdr:nvGraphicFramePr>
        <xdr:cNvPr id="34" name="Chart 3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16</xdr:col>
      <xdr:colOff>342900</xdr:colOff>
      <xdr:row>12</xdr:row>
      <xdr:rowOff>161925</xdr:rowOff>
    </xdr:from>
    <xdr:to>
      <xdr:col>20</xdr:col>
      <xdr:colOff>409575</xdr:colOff>
      <xdr:row>22</xdr:row>
      <xdr:rowOff>38100</xdr:rowOff>
    </xdr:to>
    <mc:AlternateContent xmlns:mc="http://schemas.openxmlformats.org/markup-compatibility/2006">
      <mc:Choice xmlns:a14="http://schemas.microsoft.com/office/drawing/2010/main" Requires="a14">
        <xdr:graphicFrame macro="">
          <xdr:nvGraphicFramePr>
            <xdr:cNvPr id="2" name="Date"/>
            <xdr:cNvGraphicFramePr/>
          </xdr:nvGraphicFramePr>
          <xdr:xfrm>
            <a:off x="0" y="0"/>
            <a:ext cx="0" cy="0"/>
          </xdr:xfrm>
          <a:graphic>
            <a:graphicData uri="http://schemas.microsoft.com/office/drawing/2010/slicer">
              <sle:slicer xmlns:sle="http://schemas.microsoft.com/office/drawing/2010/slicer" name="Date"/>
            </a:graphicData>
          </a:graphic>
        </xdr:graphicFrame>
      </mc:Choice>
      <mc:Fallback>
        <xdr:sp macro="" textlink="">
          <xdr:nvSpPr>
            <xdr:cNvPr id="0" name=""/>
            <xdr:cNvSpPr>
              <a:spLocks noTextEdit="1"/>
            </xdr:cNvSpPr>
          </xdr:nvSpPr>
          <xdr:spPr>
            <a:xfrm>
              <a:off x="10096500" y="2447925"/>
              <a:ext cx="2505075" cy="1781175"/>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323850</xdr:colOff>
      <xdr:row>3</xdr:row>
      <xdr:rowOff>66675</xdr:rowOff>
    </xdr:from>
    <xdr:to>
      <xdr:col>20</xdr:col>
      <xdr:colOff>457201</xdr:colOff>
      <xdr:row>8</xdr:row>
      <xdr:rowOff>47624</xdr:rowOff>
    </xdr:to>
    <mc:AlternateContent xmlns:mc="http://schemas.openxmlformats.org/markup-compatibility/2006">
      <mc:Choice xmlns:a14="http://schemas.microsoft.com/office/drawing/2010/main" Requires="a14">
        <xdr:graphicFrame macro="">
          <xdr:nvGraphicFramePr>
            <xdr:cNvPr id="3" name="Product"/>
            <xdr:cNvGraphicFramePr/>
          </xdr:nvGraphicFramePr>
          <xdr:xfrm>
            <a:off x="0" y="0"/>
            <a:ext cx="0" cy="0"/>
          </xdr:xfrm>
          <a:graphic>
            <a:graphicData uri="http://schemas.microsoft.com/office/drawing/2010/slicer">
              <sle:slicer xmlns:sle="http://schemas.microsoft.com/office/drawing/2010/slicer" name="Product"/>
            </a:graphicData>
          </a:graphic>
        </xdr:graphicFrame>
      </mc:Choice>
      <mc:Fallback>
        <xdr:sp macro="" textlink="">
          <xdr:nvSpPr>
            <xdr:cNvPr id="0" name=""/>
            <xdr:cNvSpPr>
              <a:spLocks noTextEdit="1"/>
            </xdr:cNvSpPr>
          </xdr:nvSpPr>
          <xdr:spPr>
            <a:xfrm>
              <a:off x="10077450" y="638175"/>
              <a:ext cx="2571751" cy="933449"/>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333375</xdr:colOff>
      <xdr:row>8</xdr:row>
      <xdr:rowOff>47625</xdr:rowOff>
    </xdr:from>
    <xdr:to>
      <xdr:col>20</xdr:col>
      <xdr:colOff>428625</xdr:colOff>
      <xdr:row>12</xdr:row>
      <xdr:rowOff>190499</xdr:rowOff>
    </xdr:to>
    <mc:AlternateContent xmlns:mc="http://schemas.openxmlformats.org/markup-compatibility/2006">
      <mc:Choice xmlns:a14="http://schemas.microsoft.com/office/drawing/2010/main" Requires="a14">
        <xdr:graphicFrame macro="">
          <xdr:nvGraphicFramePr>
            <xdr:cNvPr id="4" name="Name"/>
            <xdr:cNvGraphicFramePr/>
          </xdr:nvGraphicFramePr>
          <xdr:xfrm>
            <a:off x="0" y="0"/>
            <a:ext cx="0" cy="0"/>
          </xdr:xfrm>
          <a:graphic>
            <a:graphicData uri="http://schemas.microsoft.com/office/drawing/2010/slicer">
              <sle:slicer xmlns:sle="http://schemas.microsoft.com/office/drawing/2010/slicer" name="Name"/>
            </a:graphicData>
          </a:graphic>
        </xdr:graphicFrame>
      </mc:Choice>
      <mc:Fallback>
        <xdr:sp macro="" textlink="">
          <xdr:nvSpPr>
            <xdr:cNvPr id="0" name=""/>
            <xdr:cNvSpPr>
              <a:spLocks noTextEdit="1"/>
            </xdr:cNvSpPr>
          </xdr:nvSpPr>
          <xdr:spPr>
            <a:xfrm>
              <a:off x="10086975" y="1571625"/>
              <a:ext cx="2533650" cy="904874"/>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333376</xdr:colOff>
      <xdr:row>0</xdr:row>
      <xdr:rowOff>9525</xdr:rowOff>
    </xdr:from>
    <xdr:to>
      <xdr:col>20</xdr:col>
      <xdr:colOff>209551</xdr:colOff>
      <xdr:row>3</xdr:row>
      <xdr:rowOff>76200</xdr:rowOff>
    </xdr:to>
    <mc:AlternateContent xmlns:mc="http://schemas.openxmlformats.org/markup-compatibility/2006">
      <mc:Choice xmlns:a14="http://schemas.microsoft.com/office/drawing/2010/main" Requires="a14">
        <xdr:graphicFrame macro="">
          <xdr:nvGraphicFramePr>
            <xdr:cNvPr id="5" name="Area"/>
            <xdr:cNvGraphicFramePr/>
          </xdr:nvGraphicFramePr>
          <xdr:xfrm>
            <a:off x="0" y="0"/>
            <a:ext cx="0" cy="0"/>
          </xdr:xfrm>
          <a:graphic>
            <a:graphicData uri="http://schemas.microsoft.com/office/drawing/2010/slicer">
              <sle:slicer xmlns:sle="http://schemas.microsoft.com/office/drawing/2010/slicer" name="Area"/>
            </a:graphicData>
          </a:graphic>
        </xdr:graphicFrame>
      </mc:Choice>
      <mc:Fallback>
        <xdr:sp macro="" textlink="">
          <xdr:nvSpPr>
            <xdr:cNvPr id="0" name=""/>
            <xdr:cNvSpPr>
              <a:spLocks noTextEdit="1"/>
            </xdr:cNvSpPr>
          </xdr:nvSpPr>
          <xdr:spPr>
            <a:xfrm>
              <a:off x="10086976" y="9525"/>
              <a:ext cx="2314575" cy="638175"/>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4</xdr:col>
      <xdr:colOff>76200</xdr:colOff>
      <xdr:row>5</xdr:row>
      <xdr:rowOff>180975</xdr:rowOff>
    </xdr:from>
    <xdr:to>
      <xdr:col>11</xdr:col>
      <xdr:colOff>381000</xdr:colOff>
      <xdr:row>20</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76200</xdr:colOff>
      <xdr:row>5</xdr:row>
      <xdr:rowOff>180975</xdr:rowOff>
    </xdr:from>
    <xdr:to>
      <xdr:col>11</xdr:col>
      <xdr:colOff>381000</xdr:colOff>
      <xdr:row>20</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76200</xdr:colOff>
      <xdr:row>5</xdr:row>
      <xdr:rowOff>180975</xdr:rowOff>
    </xdr:from>
    <xdr:to>
      <xdr:col>11</xdr:col>
      <xdr:colOff>381000</xdr:colOff>
      <xdr:row>20</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4</xdr:col>
      <xdr:colOff>76200</xdr:colOff>
      <xdr:row>5</xdr:row>
      <xdr:rowOff>180975</xdr:rowOff>
    </xdr:from>
    <xdr:to>
      <xdr:col>11</xdr:col>
      <xdr:colOff>381000</xdr:colOff>
      <xdr:row>20</xdr:row>
      <xdr:rowOff>66675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Hrishin Roy" refreshedDate="44123.791188773146" createdVersion="4" refreshedVersion="4" minRefreshableVersion="3" recordCount="81">
  <cacheSource type="worksheet">
    <worksheetSource name="Data"/>
  </cacheSource>
  <cacheFields count="8">
    <cacheField name="Sr. No." numFmtId="0">
      <sharedItems containsSemiMixedTypes="0" containsString="0" containsNumber="1" containsInteger="1" minValue="1" maxValue="81"/>
    </cacheField>
    <cacheField name="Date" numFmtId="164">
      <sharedItems containsSemiMixedTypes="0" containsNonDate="0" containsDate="1" containsString="0" minDate="2010-01-01T00:00:00" maxDate="2010-01-11T00:00:00" count="10">
        <d v="2010-01-01T00:00:00"/>
        <d v="2010-01-02T00:00:00"/>
        <d v="2010-01-03T00:00:00"/>
        <d v="2010-01-04T00:00:00"/>
        <d v="2010-01-05T00:00:00"/>
        <d v="2010-01-06T00:00:00"/>
        <d v="2010-01-07T00:00:00"/>
        <d v="2010-01-08T00:00:00"/>
        <d v="2010-01-09T00:00:00"/>
        <d v="2010-01-10T00:00:00"/>
      </sharedItems>
    </cacheField>
    <cacheField name="Product" numFmtId="0">
      <sharedItems count="6">
        <s v="Mobile"/>
        <s v="TV"/>
        <s v="Computer"/>
        <s v="Table"/>
        <s v="Hard Disc"/>
        <s v="Laptop"/>
      </sharedItems>
    </cacheField>
    <cacheField name="Name" numFmtId="0">
      <sharedItems count="5">
        <s v="Ashok"/>
        <s v="Anil"/>
        <s v="Sunil"/>
        <s v="Rajesh"/>
        <s v="Mangesh"/>
      </sharedItems>
    </cacheField>
    <cacheField name="Area" numFmtId="0">
      <sharedItems count="4">
        <s v="East"/>
        <s v="West"/>
        <s v="South"/>
        <s v="North"/>
      </sharedItems>
    </cacheField>
    <cacheField name="Qty" numFmtId="0">
      <sharedItems containsSemiMixedTypes="0" containsString="0" containsNumber="1" containsInteger="1" minValue="2" maxValue="28"/>
    </cacheField>
    <cacheField name="Cost" numFmtId="0">
      <sharedItems containsSemiMixedTypes="0" containsString="0" containsNumber="1" containsInteger="1" minValue="2055" maxValue="5000"/>
    </cacheField>
    <cacheField name="Total" numFmtId="0">
      <sharedItems containsSemiMixedTypes="0" containsString="0" containsNumber="1" containsInteger="1" minValue="9586" maxValue="115362"/>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81">
  <r>
    <n v="1"/>
    <x v="0"/>
    <x v="0"/>
    <x v="0"/>
    <x v="0"/>
    <n v="16"/>
    <n v="2195"/>
    <n v="35120"/>
  </r>
  <r>
    <n v="2"/>
    <x v="1"/>
    <x v="1"/>
    <x v="1"/>
    <x v="0"/>
    <n v="16"/>
    <n v="3971"/>
    <n v="63536"/>
  </r>
  <r>
    <n v="3"/>
    <x v="2"/>
    <x v="2"/>
    <x v="2"/>
    <x v="0"/>
    <n v="11"/>
    <n v="4859"/>
    <n v="53449"/>
  </r>
  <r>
    <n v="4"/>
    <x v="3"/>
    <x v="3"/>
    <x v="3"/>
    <x v="0"/>
    <n v="16"/>
    <n v="2055"/>
    <n v="32880"/>
  </r>
  <r>
    <n v="5"/>
    <x v="4"/>
    <x v="4"/>
    <x v="4"/>
    <x v="0"/>
    <n v="17"/>
    <n v="3892"/>
    <n v="66164"/>
  </r>
  <r>
    <n v="6"/>
    <x v="5"/>
    <x v="0"/>
    <x v="0"/>
    <x v="0"/>
    <n v="11"/>
    <n v="4640"/>
    <n v="51040"/>
  </r>
  <r>
    <n v="7"/>
    <x v="6"/>
    <x v="1"/>
    <x v="1"/>
    <x v="0"/>
    <n v="16"/>
    <n v="4610"/>
    <n v="73760"/>
  </r>
  <r>
    <n v="8"/>
    <x v="7"/>
    <x v="2"/>
    <x v="2"/>
    <x v="0"/>
    <n v="18"/>
    <n v="2221"/>
    <n v="39978"/>
  </r>
  <r>
    <n v="9"/>
    <x v="8"/>
    <x v="3"/>
    <x v="3"/>
    <x v="0"/>
    <n v="14"/>
    <n v="3949"/>
    <n v="55286"/>
  </r>
  <r>
    <n v="10"/>
    <x v="9"/>
    <x v="4"/>
    <x v="4"/>
    <x v="0"/>
    <n v="14"/>
    <n v="2943"/>
    <n v="41202"/>
  </r>
  <r>
    <n v="11"/>
    <x v="5"/>
    <x v="0"/>
    <x v="0"/>
    <x v="0"/>
    <n v="11"/>
    <n v="4640"/>
    <n v="51040"/>
  </r>
  <r>
    <n v="12"/>
    <x v="6"/>
    <x v="1"/>
    <x v="1"/>
    <x v="0"/>
    <n v="16"/>
    <n v="4610"/>
    <n v="73760"/>
  </r>
  <r>
    <n v="13"/>
    <x v="7"/>
    <x v="2"/>
    <x v="2"/>
    <x v="0"/>
    <n v="18"/>
    <n v="2221"/>
    <n v="39978"/>
  </r>
  <r>
    <n v="14"/>
    <x v="8"/>
    <x v="3"/>
    <x v="3"/>
    <x v="0"/>
    <n v="14"/>
    <n v="3949"/>
    <n v="55286"/>
  </r>
  <r>
    <n v="15"/>
    <x v="9"/>
    <x v="4"/>
    <x v="4"/>
    <x v="0"/>
    <n v="14"/>
    <n v="2943"/>
    <n v="41202"/>
  </r>
  <r>
    <n v="16"/>
    <x v="0"/>
    <x v="0"/>
    <x v="0"/>
    <x v="0"/>
    <n v="20"/>
    <n v="2843"/>
    <n v="56860"/>
  </r>
  <r>
    <n v="17"/>
    <x v="1"/>
    <x v="1"/>
    <x v="1"/>
    <x v="0"/>
    <n v="22"/>
    <n v="3119"/>
    <n v="68618"/>
  </r>
  <r>
    <n v="18"/>
    <x v="2"/>
    <x v="2"/>
    <x v="2"/>
    <x v="0"/>
    <n v="24"/>
    <n v="2500"/>
    <n v="60000"/>
  </r>
  <r>
    <n v="19"/>
    <x v="3"/>
    <x v="3"/>
    <x v="3"/>
    <x v="0"/>
    <n v="26"/>
    <n v="4437"/>
    <n v="115362"/>
  </r>
  <r>
    <n v="20"/>
    <x v="4"/>
    <x v="4"/>
    <x v="4"/>
    <x v="0"/>
    <n v="28"/>
    <n v="2999"/>
    <n v="83972"/>
  </r>
  <r>
    <n v="21"/>
    <x v="0"/>
    <x v="1"/>
    <x v="0"/>
    <x v="1"/>
    <n v="16"/>
    <n v="2856"/>
    <n v="45696"/>
  </r>
  <r>
    <n v="22"/>
    <x v="1"/>
    <x v="0"/>
    <x v="1"/>
    <x v="1"/>
    <n v="13"/>
    <n v="2722"/>
    <n v="35386"/>
  </r>
  <r>
    <n v="23"/>
    <x v="2"/>
    <x v="3"/>
    <x v="2"/>
    <x v="1"/>
    <n v="18"/>
    <n v="2900"/>
    <n v="52200"/>
  </r>
  <r>
    <n v="24"/>
    <x v="3"/>
    <x v="2"/>
    <x v="3"/>
    <x v="1"/>
    <n v="13"/>
    <n v="2236"/>
    <n v="29068"/>
  </r>
  <r>
    <n v="25"/>
    <x v="4"/>
    <x v="5"/>
    <x v="4"/>
    <x v="1"/>
    <n v="10"/>
    <n v="4569"/>
    <n v="45690"/>
  </r>
  <r>
    <n v="26"/>
    <x v="5"/>
    <x v="1"/>
    <x v="0"/>
    <x v="1"/>
    <n v="11"/>
    <n v="3782"/>
    <n v="41602"/>
  </r>
  <r>
    <n v="27"/>
    <x v="6"/>
    <x v="0"/>
    <x v="1"/>
    <x v="1"/>
    <n v="15"/>
    <n v="2823"/>
    <n v="42345"/>
  </r>
  <r>
    <n v="28"/>
    <x v="7"/>
    <x v="3"/>
    <x v="2"/>
    <x v="1"/>
    <n v="12"/>
    <n v="4729"/>
    <n v="56748"/>
  </r>
  <r>
    <n v="29"/>
    <x v="8"/>
    <x v="2"/>
    <x v="3"/>
    <x v="1"/>
    <n v="12"/>
    <n v="4007"/>
    <n v="48084"/>
  </r>
  <r>
    <n v="30"/>
    <x v="9"/>
    <x v="5"/>
    <x v="4"/>
    <x v="1"/>
    <n v="10"/>
    <n v="3459"/>
    <n v="34590"/>
  </r>
  <r>
    <n v="31"/>
    <x v="5"/>
    <x v="1"/>
    <x v="0"/>
    <x v="1"/>
    <n v="11"/>
    <n v="3782"/>
    <n v="41602"/>
  </r>
  <r>
    <n v="32"/>
    <x v="6"/>
    <x v="0"/>
    <x v="1"/>
    <x v="1"/>
    <n v="15"/>
    <n v="2823"/>
    <n v="42345"/>
  </r>
  <r>
    <n v="33"/>
    <x v="7"/>
    <x v="3"/>
    <x v="2"/>
    <x v="1"/>
    <n v="12"/>
    <n v="4729"/>
    <n v="56748"/>
  </r>
  <r>
    <n v="34"/>
    <x v="8"/>
    <x v="2"/>
    <x v="3"/>
    <x v="1"/>
    <n v="12"/>
    <n v="4007"/>
    <n v="48084"/>
  </r>
  <r>
    <n v="35"/>
    <x v="9"/>
    <x v="5"/>
    <x v="4"/>
    <x v="1"/>
    <n v="10"/>
    <n v="3459"/>
    <n v="34590"/>
  </r>
  <r>
    <n v="36"/>
    <x v="0"/>
    <x v="1"/>
    <x v="0"/>
    <x v="1"/>
    <n v="17"/>
    <n v="2467"/>
    <n v="41939"/>
  </r>
  <r>
    <n v="37"/>
    <x v="1"/>
    <x v="0"/>
    <x v="1"/>
    <x v="1"/>
    <n v="14"/>
    <n v="3126"/>
    <n v="43764"/>
  </r>
  <r>
    <n v="38"/>
    <x v="2"/>
    <x v="3"/>
    <x v="2"/>
    <x v="1"/>
    <n v="19"/>
    <n v="2765"/>
    <n v="52535"/>
  </r>
  <r>
    <n v="39"/>
    <x v="3"/>
    <x v="2"/>
    <x v="3"/>
    <x v="1"/>
    <n v="11"/>
    <n v="2250"/>
    <n v="24750"/>
  </r>
  <r>
    <n v="40"/>
    <x v="4"/>
    <x v="5"/>
    <x v="4"/>
    <x v="1"/>
    <n v="15"/>
    <n v="4597"/>
    <n v="68955"/>
  </r>
  <r>
    <n v="41"/>
    <x v="0"/>
    <x v="3"/>
    <x v="0"/>
    <x v="2"/>
    <n v="10"/>
    <n v="4057"/>
    <n v="40570"/>
  </r>
  <r>
    <n v="42"/>
    <x v="1"/>
    <x v="4"/>
    <x v="1"/>
    <x v="2"/>
    <n v="18"/>
    <n v="3809"/>
    <n v="68562"/>
  </r>
  <r>
    <n v="43"/>
    <x v="2"/>
    <x v="0"/>
    <x v="2"/>
    <x v="2"/>
    <n v="16"/>
    <n v="3987"/>
    <n v="63792"/>
  </r>
  <r>
    <n v="44"/>
    <x v="3"/>
    <x v="1"/>
    <x v="3"/>
    <x v="2"/>
    <n v="10"/>
    <n v="2346"/>
    <n v="23460"/>
  </r>
  <r>
    <n v="45"/>
    <x v="4"/>
    <x v="1"/>
    <x v="4"/>
    <x v="2"/>
    <n v="8"/>
    <n v="4953"/>
    <n v="39624"/>
  </r>
  <r>
    <n v="46"/>
    <x v="5"/>
    <x v="3"/>
    <x v="0"/>
    <x v="2"/>
    <n v="18"/>
    <n v="4088"/>
    <n v="73584"/>
  </r>
  <r>
    <n v="47"/>
    <x v="6"/>
    <x v="4"/>
    <x v="1"/>
    <x v="2"/>
    <n v="15"/>
    <n v="2531"/>
    <n v="37965"/>
  </r>
  <r>
    <n v="48"/>
    <x v="7"/>
    <x v="0"/>
    <x v="2"/>
    <x v="2"/>
    <n v="13"/>
    <n v="4716"/>
    <n v="61308"/>
  </r>
  <r>
    <n v="49"/>
    <x v="8"/>
    <x v="1"/>
    <x v="3"/>
    <x v="2"/>
    <n v="11"/>
    <n v="2806"/>
    <n v="30866"/>
  </r>
  <r>
    <n v="50"/>
    <x v="9"/>
    <x v="1"/>
    <x v="4"/>
    <x v="2"/>
    <n v="5"/>
    <n v="3350"/>
    <n v="16750"/>
  </r>
  <r>
    <n v="51"/>
    <x v="5"/>
    <x v="3"/>
    <x v="0"/>
    <x v="2"/>
    <n v="18"/>
    <n v="4088"/>
    <n v="73584"/>
  </r>
  <r>
    <n v="52"/>
    <x v="6"/>
    <x v="4"/>
    <x v="1"/>
    <x v="2"/>
    <n v="15"/>
    <n v="2531"/>
    <n v="37965"/>
  </r>
  <r>
    <n v="53"/>
    <x v="7"/>
    <x v="0"/>
    <x v="2"/>
    <x v="2"/>
    <n v="13"/>
    <n v="4716"/>
    <n v="61308"/>
  </r>
  <r>
    <n v="54"/>
    <x v="8"/>
    <x v="1"/>
    <x v="3"/>
    <x v="2"/>
    <n v="11"/>
    <n v="2806"/>
    <n v="30866"/>
  </r>
  <r>
    <n v="55"/>
    <x v="9"/>
    <x v="1"/>
    <x v="4"/>
    <x v="2"/>
    <n v="5"/>
    <n v="3350"/>
    <n v="16750"/>
  </r>
  <r>
    <n v="56"/>
    <x v="0"/>
    <x v="3"/>
    <x v="0"/>
    <x v="2"/>
    <n v="11"/>
    <n v="2300"/>
    <n v="25300"/>
  </r>
  <r>
    <n v="57"/>
    <x v="1"/>
    <x v="4"/>
    <x v="1"/>
    <x v="2"/>
    <n v="12"/>
    <n v="3200"/>
    <n v="38400"/>
  </r>
  <r>
    <n v="58"/>
    <x v="2"/>
    <x v="0"/>
    <x v="2"/>
    <x v="2"/>
    <n v="13"/>
    <n v="4100"/>
    <n v="53300"/>
  </r>
  <r>
    <n v="59"/>
    <x v="3"/>
    <x v="1"/>
    <x v="3"/>
    <x v="2"/>
    <n v="14"/>
    <n v="3500"/>
    <n v="49000"/>
  </r>
  <r>
    <n v="60"/>
    <x v="4"/>
    <x v="1"/>
    <x v="4"/>
    <x v="2"/>
    <n v="15"/>
    <n v="4800"/>
    <n v="72000"/>
  </r>
  <r>
    <n v="61"/>
    <x v="0"/>
    <x v="5"/>
    <x v="0"/>
    <x v="3"/>
    <n v="5"/>
    <n v="3270"/>
    <n v="16350"/>
  </r>
  <r>
    <n v="62"/>
    <x v="1"/>
    <x v="2"/>
    <x v="1"/>
    <x v="3"/>
    <n v="17"/>
    <n v="4245"/>
    <n v="72165"/>
  </r>
  <r>
    <n v="63"/>
    <x v="2"/>
    <x v="5"/>
    <x v="2"/>
    <x v="3"/>
    <n v="5"/>
    <n v="4864"/>
    <n v="24320"/>
  </r>
  <r>
    <n v="64"/>
    <x v="3"/>
    <x v="5"/>
    <x v="3"/>
    <x v="3"/>
    <n v="6"/>
    <n v="2381"/>
    <n v="14286"/>
  </r>
  <r>
    <n v="65"/>
    <x v="4"/>
    <x v="3"/>
    <x v="4"/>
    <x v="3"/>
    <n v="10"/>
    <n v="3503"/>
    <n v="35030"/>
  </r>
  <r>
    <n v="66"/>
    <x v="5"/>
    <x v="5"/>
    <x v="0"/>
    <x v="3"/>
    <n v="5"/>
    <n v="3176"/>
    <n v="15880"/>
  </r>
  <r>
    <n v="67"/>
    <x v="6"/>
    <x v="2"/>
    <x v="1"/>
    <x v="3"/>
    <n v="12"/>
    <n v="4192"/>
    <n v="50304"/>
  </r>
  <r>
    <n v="68"/>
    <x v="7"/>
    <x v="5"/>
    <x v="2"/>
    <x v="3"/>
    <n v="2"/>
    <n v="4793"/>
    <n v="9586"/>
  </r>
  <r>
    <n v="69"/>
    <x v="8"/>
    <x v="5"/>
    <x v="3"/>
    <x v="3"/>
    <n v="5"/>
    <n v="2204"/>
    <n v="11020"/>
  </r>
  <r>
    <n v="70"/>
    <x v="9"/>
    <x v="3"/>
    <x v="4"/>
    <x v="3"/>
    <n v="18"/>
    <n v="4183"/>
    <n v="75294"/>
  </r>
  <r>
    <n v="71"/>
    <x v="4"/>
    <x v="3"/>
    <x v="4"/>
    <x v="3"/>
    <n v="10"/>
    <n v="3503"/>
    <n v="35030"/>
  </r>
  <r>
    <n v="72"/>
    <x v="5"/>
    <x v="5"/>
    <x v="0"/>
    <x v="3"/>
    <n v="5"/>
    <n v="3176"/>
    <n v="15880"/>
  </r>
  <r>
    <n v="73"/>
    <x v="6"/>
    <x v="2"/>
    <x v="1"/>
    <x v="3"/>
    <n v="12"/>
    <n v="4192"/>
    <n v="50304"/>
  </r>
  <r>
    <n v="74"/>
    <x v="7"/>
    <x v="5"/>
    <x v="2"/>
    <x v="3"/>
    <n v="2"/>
    <n v="4793"/>
    <n v="9586"/>
  </r>
  <r>
    <n v="75"/>
    <x v="8"/>
    <x v="5"/>
    <x v="3"/>
    <x v="3"/>
    <n v="5"/>
    <n v="2204"/>
    <n v="11020"/>
  </r>
  <r>
    <n v="76"/>
    <x v="9"/>
    <x v="3"/>
    <x v="4"/>
    <x v="3"/>
    <n v="18"/>
    <n v="4183"/>
    <n v="75294"/>
  </r>
  <r>
    <n v="77"/>
    <x v="0"/>
    <x v="5"/>
    <x v="0"/>
    <x v="3"/>
    <n v="10"/>
    <n v="5000"/>
    <n v="50000"/>
  </r>
  <r>
    <n v="78"/>
    <x v="1"/>
    <x v="2"/>
    <x v="1"/>
    <x v="3"/>
    <n v="13"/>
    <n v="4300"/>
    <n v="55900"/>
  </r>
  <r>
    <n v="79"/>
    <x v="2"/>
    <x v="5"/>
    <x v="2"/>
    <x v="3"/>
    <n v="14"/>
    <n v="2390"/>
    <n v="33460"/>
  </r>
  <r>
    <n v="80"/>
    <x v="3"/>
    <x v="5"/>
    <x v="3"/>
    <x v="3"/>
    <n v="17"/>
    <n v="4444"/>
    <n v="75548"/>
  </r>
  <r>
    <n v="81"/>
    <x v="4"/>
    <x v="3"/>
    <x v="4"/>
    <x v="3"/>
    <n v="19"/>
    <n v="3322"/>
    <n v="6311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6">
  <location ref="A3:L11" firstHeaderRow="1" firstDataRow="2" firstDataCol="1"/>
  <pivotFields count="8">
    <pivotField showAll="0"/>
    <pivotField axis="axisCol" numFmtId="164" showAll="0">
      <items count="11">
        <item x="0"/>
        <item x="1"/>
        <item x="2"/>
        <item x="3"/>
        <item x="4"/>
        <item x="5"/>
        <item x="6"/>
        <item x="7"/>
        <item x="8"/>
        <item x="9"/>
        <item t="default"/>
      </items>
    </pivotField>
    <pivotField axis="axisRow" showAll="0">
      <items count="7">
        <item x="2"/>
        <item x="4"/>
        <item x="5"/>
        <item x="0"/>
        <item x="3"/>
        <item x="1"/>
        <item t="default"/>
      </items>
    </pivotField>
    <pivotField showAll="0">
      <items count="6">
        <item x="1"/>
        <item x="0"/>
        <item x="4"/>
        <item x="3"/>
        <item x="2"/>
        <item t="default"/>
      </items>
    </pivotField>
    <pivotField showAll="0">
      <items count="5">
        <item x="0"/>
        <item x="3"/>
        <item x="2"/>
        <item x="1"/>
        <item t="default"/>
      </items>
    </pivotField>
    <pivotField showAll="0"/>
    <pivotField showAll="0"/>
    <pivotField dataField="1" showAll="0"/>
  </pivotFields>
  <rowFields count="1">
    <field x="2"/>
  </rowFields>
  <rowItems count="7">
    <i>
      <x/>
    </i>
    <i>
      <x v="1"/>
    </i>
    <i>
      <x v="2"/>
    </i>
    <i>
      <x v="3"/>
    </i>
    <i>
      <x v="4"/>
    </i>
    <i>
      <x v="5"/>
    </i>
    <i t="grand">
      <x/>
    </i>
  </rowItems>
  <colFields count="1">
    <field x="1"/>
  </colFields>
  <colItems count="11">
    <i>
      <x/>
    </i>
    <i>
      <x v="1"/>
    </i>
    <i>
      <x v="2"/>
    </i>
    <i>
      <x v="3"/>
    </i>
    <i>
      <x v="4"/>
    </i>
    <i>
      <x v="5"/>
    </i>
    <i>
      <x v="6"/>
    </i>
    <i>
      <x v="7"/>
    </i>
    <i>
      <x v="8"/>
    </i>
    <i>
      <x v="9"/>
    </i>
    <i t="grand">
      <x/>
    </i>
  </colItems>
  <dataFields count="1">
    <dataField name="Sum of Total" fld="7" baseField="0" baseItem="0"/>
  </dataFields>
  <chartFormats count="24">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3" format="3" series="1">
      <pivotArea type="data" outline="0" fieldPosition="0">
        <references count="1">
          <reference field="4294967294" count="1" selected="0">
            <x v="0"/>
          </reference>
        </references>
      </pivotArea>
    </chartFormat>
    <chartFormat chart="4" format="4" series="1">
      <pivotArea type="data" outline="0" fieldPosition="0">
        <references count="2">
          <reference field="4294967294" count="1" selected="0">
            <x v="0"/>
          </reference>
          <reference field="1" count="1" selected="0">
            <x v="0"/>
          </reference>
        </references>
      </pivotArea>
    </chartFormat>
    <chartFormat chart="4" format="5" series="1">
      <pivotArea type="data" outline="0" fieldPosition="0">
        <references count="2">
          <reference field="4294967294" count="1" selected="0">
            <x v="0"/>
          </reference>
          <reference field="1" count="1" selected="0">
            <x v="1"/>
          </reference>
        </references>
      </pivotArea>
    </chartFormat>
    <chartFormat chart="4" format="6" series="1">
      <pivotArea type="data" outline="0" fieldPosition="0">
        <references count="2">
          <reference field="4294967294" count="1" selected="0">
            <x v="0"/>
          </reference>
          <reference field="1" count="1" selected="0">
            <x v="2"/>
          </reference>
        </references>
      </pivotArea>
    </chartFormat>
    <chartFormat chart="4" format="7" series="1">
      <pivotArea type="data" outline="0" fieldPosition="0">
        <references count="2">
          <reference field="4294967294" count="1" selected="0">
            <x v="0"/>
          </reference>
          <reference field="1" count="1" selected="0">
            <x v="3"/>
          </reference>
        </references>
      </pivotArea>
    </chartFormat>
    <chartFormat chart="4" format="8" series="1">
      <pivotArea type="data" outline="0" fieldPosition="0">
        <references count="2">
          <reference field="4294967294" count="1" selected="0">
            <x v="0"/>
          </reference>
          <reference field="1" count="1" selected="0">
            <x v="4"/>
          </reference>
        </references>
      </pivotArea>
    </chartFormat>
    <chartFormat chart="4" format="9" series="1">
      <pivotArea type="data" outline="0" fieldPosition="0">
        <references count="2">
          <reference field="4294967294" count="1" selected="0">
            <x v="0"/>
          </reference>
          <reference field="1" count="1" selected="0">
            <x v="5"/>
          </reference>
        </references>
      </pivotArea>
    </chartFormat>
    <chartFormat chart="4" format="10" series="1">
      <pivotArea type="data" outline="0" fieldPosition="0">
        <references count="2">
          <reference field="4294967294" count="1" selected="0">
            <x v="0"/>
          </reference>
          <reference field="1" count="1" selected="0">
            <x v="6"/>
          </reference>
        </references>
      </pivotArea>
    </chartFormat>
    <chartFormat chart="4" format="11" series="1">
      <pivotArea type="data" outline="0" fieldPosition="0">
        <references count="2">
          <reference field="4294967294" count="1" selected="0">
            <x v="0"/>
          </reference>
          <reference field="1" count="1" selected="0">
            <x v="7"/>
          </reference>
        </references>
      </pivotArea>
    </chartFormat>
    <chartFormat chart="4" format="12" series="1">
      <pivotArea type="data" outline="0" fieldPosition="0">
        <references count="2">
          <reference field="4294967294" count="1" selected="0">
            <x v="0"/>
          </reference>
          <reference field="1" count="1" selected="0">
            <x v="8"/>
          </reference>
        </references>
      </pivotArea>
    </chartFormat>
    <chartFormat chart="4" format="13" series="1">
      <pivotArea type="data" outline="0" fieldPosition="0">
        <references count="2">
          <reference field="4294967294" count="1" selected="0">
            <x v="0"/>
          </reference>
          <reference field="1" count="1" selected="0">
            <x v="9"/>
          </reference>
        </references>
      </pivotArea>
    </chartFormat>
    <chartFormat chart="5" format="14" series="1">
      <pivotArea type="data" outline="0" fieldPosition="0">
        <references count="2">
          <reference field="4294967294" count="1" selected="0">
            <x v="0"/>
          </reference>
          <reference field="1" count="1" selected="0">
            <x v="0"/>
          </reference>
        </references>
      </pivotArea>
    </chartFormat>
    <chartFormat chart="5" format="15" series="1">
      <pivotArea type="data" outline="0" fieldPosition="0">
        <references count="2">
          <reference field="4294967294" count="1" selected="0">
            <x v="0"/>
          </reference>
          <reference field="1" count="1" selected="0">
            <x v="1"/>
          </reference>
        </references>
      </pivotArea>
    </chartFormat>
    <chartFormat chart="5" format="16" series="1">
      <pivotArea type="data" outline="0" fieldPosition="0">
        <references count="2">
          <reference field="4294967294" count="1" selected="0">
            <x v="0"/>
          </reference>
          <reference field="1" count="1" selected="0">
            <x v="2"/>
          </reference>
        </references>
      </pivotArea>
    </chartFormat>
    <chartFormat chart="5" format="17" series="1">
      <pivotArea type="data" outline="0" fieldPosition="0">
        <references count="2">
          <reference field="4294967294" count="1" selected="0">
            <x v="0"/>
          </reference>
          <reference field="1" count="1" selected="0">
            <x v="3"/>
          </reference>
        </references>
      </pivotArea>
    </chartFormat>
    <chartFormat chart="5" format="18" series="1">
      <pivotArea type="data" outline="0" fieldPosition="0">
        <references count="2">
          <reference field="4294967294" count="1" selected="0">
            <x v="0"/>
          </reference>
          <reference field="1" count="1" selected="0">
            <x v="4"/>
          </reference>
        </references>
      </pivotArea>
    </chartFormat>
    <chartFormat chart="5" format="19" series="1">
      <pivotArea type="data" outline="0" fieldPosition="0">
        <references count="2">
          <reference field="4294967294" count="1" selected="0">
            <x v="0"/>
          </reference>
          <reference field="1" count="1" selected="0">
            <x v="5"/>
          </reference>
        </references>
      </pivotArea>
    </chartFormat>
    <chartFormat chart="5" format="20" series="1">
      <pivotArea type="data" outline="0" fieldPosition="0">
        <references count="2">
          <reference field="4294967294" count="1" selected="0">
            <x v="0"/>
          </reference>
          <reference field="1" count="1" selected="0">
            <x v="6"/>
          </reference>
        </references>
      </pivotArea>
    </chartFormat>
    <chartFormat chart="5" format="21" series="1">
      <pivotArea type="data" outline="0" fieldPosition="0">
        <references count="2">
          <reference field="4294967294" count="1" selected="0">
            <x v="0"/>
          </reference>
          <reference field="1" count="1" selected="0">
            <x v="7"/>
          </reference>
        </references>
      </pivotArea>
    </chartFormat>
    <chartFormat chart="5" format="22" series="1">
      <pivotArea type="data" outline="0" fieldPosition="0">
        <references count="2">
          <reference field="4294967294" count="1" selected="0">
            <x v="0"/>
          </reference>
          <reference field="1" count="1" selected="0">
            <x v="8"/>
          </reference>
        </references>
      </pivotArea>
    </chartFormat>
    <chartFormat chart="5" format="23" series="1">
      <pivotArea type="data" outline="0" fieldPosition="0">
        <references count="2">
          <reference field="4294967294" count="1" selected="0">
            <x v="0"/>
          </reference>
          <reference field="1" count="1" selected="0">
            <x v="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5">
  <location ref="A3:H9" firstHeaderRow="1" firstDataRow="2" firstDataCol="1"/>
  <pivotFields count="8">
    <pivotField showAll="0"/>
    <pivotField numFmtId="164" showAll="0">
      <items count="11">
        <item x="0"/>
        <item x="1"/>
        <item x="2"/>
        <item x="3"/>
        <item x="4"/>
        <item x="5"/>
        <item x="6"/>
        <item x="7"/>
        <item x="8"/>
        <item x="9"/>
        <item t="default"/>
      </items>
    </pivotField>
    <pivotField axis="axisCol" showAll="0">
      <items count="7">
        <item x="2"/>
        <item x="4"/>
        <item x="5"/>
        <item x="0"/>
        <item x="3"/>
        <item x="1"/>
        <item t="default"/>
      </items>
    </pivotField>
    <pivotField showAll="0">
      <items count="6">
        <item x="1"/>
        <item x="0"/>
        <item x="4"/>
        <item x="3"/>
        <item x="2"/>
        <item t="default"/>
      </items>
    </pivotField>
    <pivotField axis="axisRow" showAll="0">
      <items count="5">
        <item x="0"/>
        <item x="3"/>
        <item x="2"/>
        <item x="1"/>
        <item t="default"/>
      </items>
    </pivotField>
    <pivotField dataField="1" showAll="0"/>
    <pivotField showAll="0"/>
    <pivotField showAll="0"/>
  </pivotFields>
  <rowFields count="1">
    <field x="4"/>
  </rowFields>
  <rowItems count="5">
    <i>
      <x/>
    </i>
    <i>
      <x v="1"/>
    </i>
    <i>
      <x v="2"/>
    </i>
    <i>
      <x v="3"/>
    </i>
    <i t="grand">
      <x/>
    </i>
  </rowItems>
  <colFields count="1">
    <field x="2"/>
  </colFields>
  <colItems count="7">
    <i>
      <x/>
    </i>
    <i>
      <x v="1"/>
    </i>
    <i>
      <x v="2"/>
    </i>
    <i>
      <x v="3"/>
    </i>
    <i>
      <x v="4"/>
    </i>
    <i>
      <x v="5"/>
    </i>
    <i t="grand">
      <x/>
    </i>
  </colItems>
  <dataFields count="1">
    <dataField name="Sum of Qty" fld="5" baseField="0" baseItem="0"/>
  </dataFields>
  <chartFormats count="7">
    <chartFormat chart="2" format="3" series="1">
      <pivotArea type="data" outline="0" fieldPosition="0">
        <references count="1">
          <reference field="4294967294" count="1" selected="0">
            <x v="0"/>
          </reference>
        </references>
      </pivotArea>
    </chartFormat>
    <chartFormat chart="4" format="10" series="1">
      <pivotArea type="data" outline="0" fieldPosition="0">
        <references count="2">
          <reference field="4294967294" count="1" selected="0">
            <x v="0"/>
          </reference>
          <reference field="2" count="1" selected="0">
            <x v="0"/>
          </reference>
        </references>
      </pivotArea>
    </chartFormat>
    <chartFormat chart="4" format="11" series="1">
      <pivotArea type="data" outline="0" fieldPosition="0">
        <references count="2">
          <reference field="4294967294" count="1" selected="0">
            <x v="0"/>
          </reference>
          <reference field="2" count="1" selected="0">
            <x v="1"/>
          </reference>
        </references>
      </pivotArea>
    </chartFormat>
    <chartFormat chart="4" format="12" series="1">
      <pivotArea type="data" outline="0" fieldPosition="0">
        <references count="2">
          <reference field="4294967294" count="1" selected="0">
            <x v="0"/>
          </reference>
          <reference field="2" count="1" selected="0">
            <x v="2"/>
          </reference>
        </references>
      </pivotArea>
    </chartFormat>
    <chartFormat chart="4" format="13" series="1">
      <pivotArea type="data" outline="0" fieldPosition="0">
        <references count="2">
          <reference field="4294967294" count="1" selected="0">
            <x v="0"/>
          </reference>
          <reference field="2" count="1" selected="0">
            <x v="3"/>
          </reference>
        </references>
      </pivotArea>
    </chartFormat>
    <chartFormat chart="4" format="14" series="1">
      <pivotArea type="data" outline="0" fieldPosition="0">
        <references count="2">
          <reference field="4294967294" count="1" selected="0">
            <x v="0"/>
          </reference>
          <reference field="2" count="1" selected="0">
            <x v="4"/>
          </reference>
        </references>
      </pivotArea>
    </chartFormat>
    <chartFormat chart="4" format="15" series="1">
      <pivotArea type="data" outline="0" fieldPosition="0">
        <references count="2">
          <reference field="4294967294" count="1" selected="0">
            <x v="0"/>
          </reference>
          <reference field="2"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4">
  <location ref="A3:B10" firstHeaderRow="1" firstDataRow="1" firstDataCol="1"/>
  <pivotFields count="8">
    <pivotField showAll="0"/>
    <pivotField numFmtId="164" showAll="0">
      <items count="11">
        <item x="0"/>
        <item x="1"/>
        <item x="2"/>
        <item x="3"/>
        <item x="4"/>
        <item x="5"/>
        <item x="6"/>
        <item x="7"/>
        <item x="8"/>
        <item x="9"/>
        <item t="default"/>
      </items>
    </pivotField>
    <pivotField axis="axisRow" showAll="0">
      <items count="7">
        <item x="2"/>
        <item x="4"/>
        <item x="5"/>
        <item x="0"/>
        <item x="3"/>
        <item x="1"/>
        <item t="default"/>
      </items>
    </pivotField>
    <pivotField showAll="0">
      <items count="6">
        <item x="1"/>
        <item x="0"/>
        <item x="4"/>
        <item x="3"/>
        <item x="2"/>
        <item t="default"/>
      </items>
    </pivotField>
    <pivotField showAll="0">
      <items count="5">
        <item x="0"/>
        <item x="3"/>
        <item x="2"/>
        <item x="1"/>
        <item t="default"/>
      </items>
    </pivotField>
    <pivotField showAll="0"/>
    <pivotField showAll="0"/>
    <pivotField dataField="1" showAll="0"/>
  </pivotFields>
  <rowFields count="1">
    <field x="2"/>
  </rowFields>
  <rowItems count="7">
    <i>
      <x/>
    </i>
    <i>
      <x v="1"/>
    </i>
    <i>
      <x v="2"/>
    </i>
    <i>
      <x v="3"/>
    </i>
    <i>
      <x v="4"/>
    </i>
    <i>
      <x v="5"/>
    </i>
    <i t="grand">
      <x/>
    </i>
  </rowItems>
  <colItems count="1">
    <i/>
  </colItems>
  <dataFields count="1">
    <dataField name="Sum of Total" fld="7" baseField="0" baseItem="0"/>
  </dataFields>
  <chartFormats count="3">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3"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1">
  <location ref="A3:B8" firstHeaderRow="1" firstDataRow="1" firstDataCol="1"/>
  <pivotFields count="8">
    <pivotField showAll="0"/>
    <pivotField numFmtId="164" showAll="0">
      <items count="11">
        <item x="0"/>
        <item x="1"/>
        <item x="2"/>
        <item x="3"/>
        <item x="4"/>
        <item x="5"/>
        <item x="6"/>
        <item x="7"/>
        <item x="8"/>
        <item x="9"/>
        <item t="default"/>
      </items>
    </pivotField>
    <pivotField showAll="0">
      <items count="7">
        <item x="2"/>
        <item x="4"/>
        <item x="5"/>
        <item x="0"/>
        <item x="3"/>
        <item x="1"/>
        <item t="default"/>
      </items>
    </pivotField>
    <pivotField showAll="0">
      <items count="6">
        <item x="1"/>
        <item x="0"/>
        <item x="4"/>
        <item x="3"/>
        <item x="2"/>
        <item t="default"/>
      </items>
    </pivotField>
    <pivotField axis="axisRow" showAll="0">
      <items count="5">
        <item x="0"/>
        <item x="3"/>
        <item x="2"/>
        <item x="1"/>
        <item t="default"/>
      </items>
    </pivotField>
    <pivotField showAll="0"/>
    <pivotField showAll="0"/>
    <pivotField dataField="1" showAll="0"/>
  </pivotFields>
  <rowFields count="1">
    <field x="4"/>
  </rowFields>
  <rowItems count="5">
    <i>
      <x/>
    </i>
    <i>
      <x v="1"/>
    </i>
    <i>
      <x v="2"/>
    </i>
    <i>
      <x v="3"/>
    </i>
    <i t="grand">
      <x/>
    </i>
  </rowItems>
  <colItems count="1">
    <i/>
  </colItems>
  <dataFields count="1">
    <dataField name="Sum of Total" fld="7"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Date" sourceName="Date">
  <pivotTables>
    <pivotTable tabId="36" name="PivotTable1"/>
    <pivotTable tabId="33" name="PivotTable1"/>
    <pivotTable tabId="34" name="PivotTable1"/>
    <pivotTable tabId="35" name="PivotTable1"/>
  </pivotTables>
  <data>
    <tabular pivotCacheId="1">
      <items count="10">
        <i x="0" s="1"/>
        <i x="1" s="1"/>
        <i x="2" s="1"/>
        <i x="3" s="1"/>
        <i x="4" s="1"/>
        <i x="5" s="1"/>
        <i x="6" s="1"/>
        <i x="7" s="1"/>
        <i x="8" s="1"/>
        <i x="9"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Product" sourceName="Product">
  <pivotTables>
    <pivotTable tabId="36" name="PivotTable1"/>
    <pivotTable tabId="33" name="PivotTable1"/>
    <pivotTable tabId="34" name="PivotTable1"/>
    <pivotTable tabId="35" name="PivotTable1"/>
  </pivotTables>
  <data>
    <tabular pivotCacheId="1">
      <items count="6">
        <i x="2" s="1"/>
        <i x="4" s="1"/>
        <i x="5" s="1"/>
        <i x="0" s="1"/>
        <i x="3"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Name" sourceName="Name">
  <pivotTables>
    <pivotTable tabId="36" name="PivotTable1"/>
    <pivotTable tabId="33" name="PivotTable1"/>
    <pivotTable tabId="34" name="PivotTable1"/>
    <pivotTable tabId="35" name="PivotTable1"/>
  </pivotTables>
  <data>
    <tabular pivotCacheId="1">
      <items count="5">
        <i x="1" s="1"/>
        <i x="0" s="1"/>
        <i x="4" s="1"/>
        <i x="3" s="1"/>
        <i x="2"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Area" sourceName="Area">
  <pivotTables>
    <pivotTable tabId="36" name="PivotTable1"/>
    <pivotTable tabId="33" name="PivotTable1"/>
    <pivotTable tabId="34" name="PivotTable1"/>
    <pivotTable tabId="35" name="PivotTable1"/>
  </pivotTables>
  <data>
    <tabular pivotCacheId="1">
      <items count="4">
        <i x="0" s="1"/>
        <i x="3" s="1"/>
        <i x="2"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Date" cache="Slicer_Date" caption="Date" columnCount="2" style="SlicerStyleDark2" rowHeight="241300"/>
  <slicer name="Product" cache="Slicer_Product" caption="Product" columnCount="3" style="SlicerStyleDark5" rowHeight="241300"/>
  <slicer name="Name" cache="Slicer_Name" caption="Name" columnCount="3" style="SlicerStyleDark6" rowHeight="241300"/>
  <slicer name="Area" cache="Slicer_Area" caption="Area" columnCount="4" style="SlicerStyleDark4" rowHeight="241300"/>
</slicers>
</file>

<file path=xl/tables/table1.xml><?xml version="1.0" encoding="utf-8"?>
<table xmlns="http://schemas.openxmlformats.org/spreadsheetml/2006/main" id="3" name="Data" displayName="Data" ref="A1:H82" totalsRowShown="0" dataDxfId="4">
  <autoFilter ref="A1:H82"/>
  <tableColumns count="8">
    <tableColumn id="1" name="Sr. No."/>
    <tableColumn id="2" name="Date" dataDxfId="3"/>
    <tableColumn id="3" name="Product"/>
    <tableColumn id="4" name="Name"/>
    <tableColumn id="5" name="Area"/>
    <tableColumn id="6" name="Qty" dataDxfId="2"/>
    <tableColumn id="7" name="Cost" dataDxfId="1"/>
    <tableColumn id="8" name="Total" dataDxfId="0">
      <calculatedColumnFormula>F2*G2</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showGridLines="0" tabSelected="1" workbookViewId="0">
      <selection activeCell="Q25" sqref="Q25"/>
    </sheetView>
  </sheetViews>
  <sheetFormatPr defaultRowHeight="15" x14ac:dyDescent="0.25"/>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3:L11"/>
  <sheetViews>
    <sheetView workbookViewId="0">
      <selection activeCell="C7" sqref="C7"/>
    </sheetView>
  </sheetViews>
  <sheetFormatPr defaultRowHeight="15" x14ac:dyDescent="0.25"/>
  <cols>
    <col min="1" max="1" width="13.140625" customWidth="1"/>
    <col min="2" max="2" width="16.28515625" bestFit="1" customWidth="1"/>
    <col min="3" max="10" width="10.5703125" bestFit="1" customWidth="1"/>
    <col min="11" max="11" width="11.5703125" bestFit="1" customWidth="1"/>
    <col min="12" max="12" width="11.28515625" bestFit="1" customWidth="1"/>
  </cols>
  <sheetData>
    <row r="3" spans="1:12" x14ac:dyDescent="0.25">
      <c r="A3" s="11" t="s">
        <v>42</v>
      </c>
      <c r="B3" s="11" t="s">
        <v>44</v>
      </c>
    </row>
    <row r="4" spans="1:12" x14ac:dyDescent="0.25">
      <c r="A4" s="11" t="s">
        <v>40</v>
      </c>
      <c r="B4" s="3">
        <v>40179</v>
      </c>
      <c r="C4" s="3">
        <v>40180</v>
      </c>
      <c r="D4" s="3">
        <v>40181</v>
      </c>
      <c r="E4" s="3">
        <v>40182</v>
      </c>
      <c r="F4" s="3">
        <v>40183</v>
      </c>
      <c r="G4" s="3">
        <v>40184</v>
      </c>
      <c r="H4" s="3">
        <v>40185</v>
      </c>
      <c r="I4" s="3">
        <v>40186</v>
      </c>
      <c r="J4" s="3">
        <v>40187</v>
      </c>
      <c r="K4" s="3">
        <v>40188</v>
      </c>
      <c r="L4" s="3" t="s">
        <v>41</v>
      </c>
    </row>
    <row r="5" spans="1:12" x14ac:dyDescent="0.25">
      <c r="A5" s="12" t="s">
        <v>12</v>
      </c>
      <c r="B5" s="13"/>
      <c r="C5" s="13">
        <v>128065</v>
      </c>
      <c r="D5" s="13">
        <v>113449</v>
      </c>
      <c r="E5" s="13">
        <v>53818</v>
      </c>
      <c r="F5" s="13"/>
      <c r="G5" s="13"/>
      <c r="H5" s="13">
        <v>100608</v>
      </c>
      <c r="I5" s="13">
        <v>79956</v>
      </c>
      <c r="J5" s="13">
        <v>96168</v>
      </c>
      <c r="K5" s="13"/>
      <c r="L5" s="13">
        <v>572064</v>
      </c>
    </row>
    <row r="6" spans="1:12" x14ac:dyDescent="0.25">
      <c r="A6" s="12" t="s">
        <v>14</v>
      </c>
      <c r="B6" s="13"/>
      <c r="C6" s="13">
        <v>106962</v>
      </c>
      <c r="D6" s="13"/>
      <c r="E6" s="13"/>
      <c r="F6" s="13">
        <v>150136</v>
      </c>
      <c r="G6" s="13"/>
      <c r="H6" s="13">
        <v>75930</v>
      </c>
      <c r="I6" s="13"/>
      <c r="J6" s="13"/>
      <c r="K6" s="13">
        <v>82404</v>
      </c>
      <c r="L6" s="13">
        <v>415432</v>
      </c>
    </row>
    <row r="7" spans="1:12" x14ac:dyDescent="0.25">
      <c r="A7" s="12" t="s">
        <v>13</v>
      </c>
      <c r="B7" s="13">
        <v>66350</v>
      </c>
      <c r="C7" s="13"/>
      <c r="D7" s="13">
        <v>57780</v>
      </c>
      <c r="E7" s="13">
        <v>89834</v>
      </c>
      <c r="F7" s="13">
        <v>114645</v>
      </c>
      <c r="G7" s="13">
        <v>31760</v>
      </c>
      <c r="H7" s="13"/>
      <c r="I7" s="13">
        <v>19172</v>
      </c>
      <c r="J7" s="13">
        <v>22040</v>
      </c>
      <c r="K7" s="13">
        <v>69180</v>
      </c>
      <c r="L7" s="13">
        <v>470761</v>
      </c>
    </row>
    <row r="8" spans="1:12" x14ac:dyDescent="0.25">
      <c r="A8" s="12" t="s">
        <v>10</v>
      </c>
      <c r="B8" s="13">
        <v>91980</v>
      </c>
      <c r="C8" s="13">
        <v>79150</v>
      </c>
      <c r="D8" s="13">
        <v>117092</v>
      </c>
      <c r="E8" s="13"/>
      <c r="F8" s="13"/>
      <c r="G8" s="13">
        <v>102080</v>
      </c>
      <c r="H8" s="13">
        <v>84690</v>
      </c>
      <c r="I8" s="13">
        <v>122616</v>
      </c>
      <c r="J8" s="13"/>
      <c r="K8" s="13"/>
      <c r="L8" s="13">
        <v>597608</v>
      </c>
    </row>
    <row r="9" spans="1:12" x14ac:dyDescent="0.25">
      <c r="A9" s="12" t="s">
        <v>11</v>
      </c>
      <c r="B9" s="13">
        <v>65870</v>
      </c>
      <c r="C9" s="13"/>
      <c r="D9" s="13">
        <v>104735</v>
      </c>
      <c r="E9" s="13">
        <v>148242</v>
      </c>
      <c r="F9" s="13">
        <v>133178</v>
      </c>
      <c r="G9" s="13">
        <v>147168</v>
      </c>
      <c r="H9" s="13"/>
      <c r="I9" s="13">
        <v>113496</v>
      </c>
      <c r="J9" s="13">
        <v>110572</v>
      </c>
      <c r="K9" s="13">
        <v>150588</v>
      </c>
      <c r="L9" s="13">
        <v>973849</v>
      </c>
    </row>
    <row r="10" spans="1:12" x14ac:dyDescent="0.25">
      <c r="A10" s="12" t="s">
        <v>8</v>
      </c>
      <c r="B10" s="13">
        <v>87635</v>
      </c>
      <c r="C10" s="13">
        <v>132154</v>
      </c>
      <c r="D10" s="13"/>
      <c r="E10" s="13">
        <v>72460</v>
      </c>
      <c r="F10" s="13">
        <v>111624</v>
      </c>
      <c r="G10" s="13">
        <v>83204</v>
      </c>
      <c r="H10" s="13">
        <v>147520</v>
      </c>
      <c r="I10" s="13"/>
      <c r="J10" s="13">
        <v>61732</v>
      </c>
      <c r="K10" s="13">
        <v>33500</v>
      </c>
      <c r="L10" s="13">
        <v>729829</v>
      </c>
    </row>
    <row r="11" spans="1:12" x14ac:dyDescent="0.25">
      <c r="A11" s="12" t="s">
        <v>41</v>
      </c>
      <c r="B11" s="13">
        <v>311835</v>
      </c>
      <c r="C11" s="13">
        <v>446331</v>
      </c>
      <c r="D11" s="13">
        <v>393056</v>
      </c>
      <c r="E11" s="13">
        <v>364354</v>
      </c>
      <c r="F11" s="13">
        <v>509583</v>
      </c>
      <c r="G11" s="13">
        <v>364212</v>
      </c>
      <c r="H11" s="13">
        <v>408748</v>
      </c>
      <c r="I11" s="13">
        <v>335240</v>
      </c>
      <c r="J11" s="13">
        <v>290512</v>
      </c>
      <c r="K11" s="13">
        <v>335672</v>
      </c>
      <c r="L11" s="13">
        <v>3759543</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3:H9"/>
  <sheetViews>
    <sheetView workbookViewId="0">
      <selection activeCell="B7" sqref="B7"/>
    </sheetView>
  </sheetViews>
  <sheetFormatPr defaultRowHeight="15" x14ac:dyDescent="0.25"/>
  <cols>
    <col min="1" max="1" width="13.140625" customWidth="1"/>
    <col min="2" max="2" width="16.28515625" bestFit="1" customWidth="1"/>
    <col min="3" max="3" width="9.140625" customWidth="1"/>
    <col min="4" max="4" width="7" bestFit="1" customWidth="1"/>
    <col min="5" max="5" width="7.42578125" bestFit="1" customWidth="1"/>
    <col min="6" max="6" width="5.85546875" bestFit="1" customWidth="1"/>
    <col min="7" max="7" width="4" bestFit="1" customWidth="1"/>
    <col min="8" max="8" width="11.28515625" bestFit="1" customWidth="1"/>
  </cols>
  <sheetData>
    <row r="3" spans="1:8" x14ac:dyDescent="0.25">
      <c r="A3" s="11" t="s">
        <v>43</v>
      </c>
      <c r="B3" s="11" t="s">
        <v>44</v>
      </c>
    </row>
    <row r="4" spans="1:8" x14ac:dyDescent="0.25">
      <c r="A4" s="11" t="s">
        <v>40</v>
      </c>
      <c r="B4" t="s">
        <v>12</v>
      </c>
      <c r="C4" t="s">
        <v>14</v>
      </c>
      <c r="D4" t="s">
        <v>13</v>
      </c>
      <c r="E4" t="s">
        <v>10</v>
      </c>
      <c r="F4" t="s">
        <v>11</v>
      </c>
      <c r="G4" t="s">
        <v>8</v>
      </c>
      <c r="H4" t="s">
        <v>41</v>
      </c>
    </row>
    <row r="5" spans="1:8" x14ac:dyDescent="0.25">
      <c r="A5" s="12" t="s">
        <v>9</v>
      </c>
      <c r="B5" s="13">
        <v>71</v>
      </c>
      <c r="C5" s="13">
        <v>73</v>
      </c>
      <c r="D5" s="13"/>
      <c r="E5" s="13">
        <v>58</v>
      </c>
      <c r="F5" s="13">
        <v>70</v>
      </c>
      <c r="G5" s="13">
        <v>70</v>
      </c>
      <c r="H5" s="13">
        <v>342</v>
      </c>
    </row>
    <row r="6" spans="1:8" x14ac:dyDescent="0.25">
      <c r="A6" s="12" t="s">
        <v>22</v>
      </c>
      <c r="B6" s="13">
        <v>54</v>
      </c>
      <c r="C6" s="13"/>
      <c r="D6" s="13">
        <v>81</v>
      </c>
      <c r="E6" s="13"/>
      <c r="F6" s="13">
        <v>75</v>
      </c>
      <c r="G6" s="13"/>
      <c r="H6" s="13">
        <v>210</v>
      </c>
    </row>
    <row r="7" spans="1:8" x14ac:dyDescent="0.25">
      <c r="A7" s="12" t="s">
        <v>21</v>
      </c>
      <c r="B7" s="13"/>
      <c r="C7" s="13">
        <v>60</v>
      </c>
      <c r="D7" s="13"/>
      <c r="E7" s="13">
        <v>55</v>
      </c>
      <c r="F7" s="13">
        <v>57</v>
      </c>
      <c r="G7" s="13">
        <v>79</v>
      </c>
      <c r="H7" s="13">
        <v>251</v>
      </c>
    </row>
    <row r="8" spans="1:8" x14ac:dyDescent="0.25">
      <c r="A8" s="12" t="s">
        <v>20</v>
      </c>
      <c r="B8" s="13">
        <v>48</v>
      </c>
      <c r="C8" s="13"/>
      <c r="D8" s="13">
        <v>45</v>
      </c>
      <c r="E8" s="13">
        <v>57</v>
      </c>
      <c r="F8" s="13">
        <v>61</v>
      </c>
      <c r="G8" s="13">
        <v>55</v>
      </c>
      <c r="H8" s="13">
        <v>266</v>
      </c>
    </row>
    <row r="9" spans="1:8" x14ac:dyDescent="0.25">
      <c r="A9" s="12" t="s">
        <v>41</v>
      </c>
      <c r="B9" s="13">
        <v>173</v>
      </c>
      <c r="C9" s="13">
        <v>133</v>
      </c>
      <c r="D9" s="13">
        <v>126</v>
      </c>
      <c r="E9" s="13">
        <v>170</v>
      </c>
      <c r="F9" s="13">
        <v>263</v>
      </c>
      <c r="G9" s="13">
        <v>204</v>
      </c>
      <c r="H9" s="13">
        <v>1069</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3:B10"/>
  <sheetViews>
    <sheetView workbookViewId="0">
      <selection activeCell="B5" sqref="B5"/>
    </sheetView>
  </sheetViews>
  <sheetFormatPr defaultRowHeight="15" x14ac:dyDescent="0.25"/>
  <cols>
    <col min="1" max="1" width="13.140625" customWidth="1"/>
    <col min="2" max="2" width="12" bestFit="1" customWidth="1"/>
  </cols>
  <sheetData>
    <row r="3" spans="1:2" x14ac:dyDescent="0.25">
      <c r="A3" s="11" t="s">
        <v>40</v>
      </c>
      <c r="B3" t="s">
        <v>42</v>
      </c>
    </row>
    <row r="4" spans="1:2" x14ac:dyDescent="0.25">
      <c r="A4" s="12" t="s">
        <v>12</v>
      </c>
      <c r="B4" s="13">
        <v>572064</v>
      </c>
    </row>
    <row r="5" spans="1:2" x14ac:dyDescent="0.25">
      <c r="A5" s="12" t="s">
        <v>14</v>
      </c>
      <c r="B5" s="13">
        <v>415432</v>
      </c>
    </row>
    <row r="6" spans="1:2" x14ac:dyDescent="0.25">
      <c r="A6" s="12" t="s">
        <v>13</v>
      </c>
      <c r="B6" s="13">
        <v>470761</v>
      </c>
    </row>
    <row r="7" spans="1:2" x14ac:dyDescent="0.25">
      <c r="A7" s="12" t="s">
        <v>10</v>
      </c>
      <c r="B7" s="13">
        <v>597608</v>
      </c>
    </row>
    <row r="8" spans="1:2" x14ac:dyDescent="0.25">
      <c r="A8" s="12" t="s">
        <v>11</v>
      </c>
      <c r="B8" s="13">
        <v>973849</v>
      </c>
    </row>
    <row r="9" spans="1:2" x14ac:dyDescent="0.25">
      <c r="A9" s="12" t="s">
        <v>8</v>
      </c>
      <c r="B9" s="13">
        <v>729829</v>
      </c>
    </row>
    <row r="10" spans="1:2" x14ac:dyDescent="0.25">
      <c r="A10" s="12" t="s">
        <v>41</v>
      </c>
      <c r="B10" s="13">
        <v>3759543</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B8"/>
  <sheetViews>
    <sheetView workbookViewId="0">
      <selection activeCell="B6" sqref="B6"/>
    </sheetView>
  </sheetViews>
  <sheetFormatPr defaultRowHeight="15" x14ac:dyDescent="0.25"/>
  <cols>
    <col min="1" max="1" width="13.140625" bestFit="1" customWidth="1"/>
    <col min="2" max="2" width="12" bestFit="1" customWidth="1"/>
  </cols>
  <sheetData>
    <row r="3" spans="1:2" x14ac:dyDescent="0.25">
      <c r="A3" s="11" t="s">
        <v>40</v>
      </c>
      <c r="B3" t="s">
        <v>42</v>
      </c>
    </row>
    <row r="4" spans="1:2" x14ac:dyDescent="0.25">
      <c r="A4" s="12" t="s">
        <v>9</v>
      </c>
      <c r="B4" s="13">
        <v>1158493</v>
      </c>
    </row>
    <row r="5" spans="1:2" x14ac:dyDescent="0.25">
      <c r="A5" s="12" t="s">
        <v>22</v>
      </c>
      <c r="B5" s="13">
        <v>799375</v>
      </c>
    </row>
    <row r="6" spans="1:2" x14ac:dyDescent="0.25">
      <c r="A6" s="12" t="s">
        <v>21</v>
      </c>
      <c r="B6" s="13">
        <v>914954</v>
      </c>
    </row>
    <row r="7" spans="1:2" x14ac:dyDescent="0.25">
      <c r="A7" s="12" t="s">
        <v>20</v>
      </c>
      <c r="B7" s="13">
        <v>886721</v>
      </c>
    </row>
    <row r="8" spans="1:2" x14ac:dyDescent="0.25">
      <c r="A8" s="12" t="s">
        <v>41</v>
      </c>
      <c r="B8" s="13">
        <v>3759543</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H82"/>
  <sheetViews>
    <sheetView topLeftCell="A2" workbookViewId="0">
      <selection sqref="A1:H82"/>
    </sheetView>
  </sheetViews>
  <sheetFormatPr defaultRowHeight="15" x14ac:dyDescent="0.25"/>
  <cols>
    <col min="2" max="2" width="11.28515625" bestFit="1" customWidth="1"/>
    <col min="3" max="3" width="10" customWidth="1"/>
  </cols>
  <sheetData>
    <row r="1" spans="1:8" x14ac:dyDescent="0.25">
      <c r="A1" t="s">
        <v>7</v>
      </c>
      <c r="B1" t="s">
        <v>0</v>
      </c>
      <c r="C1" t="s">
        <v>1</v>
      </c>
      <c r="D1" t="s">
        <v>2</v>
      </c>
      <c r="E1" t="s">
        <v>3</v>
      </c>
      <c r="F1" t="s">
        <v>4</v>
      </c>
      <c r="G1" t="s">
        <v>5</v>
      </c>
      <c r="H1" t="s">
        <v>6</v>
      </c>
    </row>
    <row r="2" spans="1:8" x14ac:dyDescent="0.25">
      <c r="A2">
        <v>1</v>
      </c>
      <c r="B2" s="3">
        <v>40179</v>
      </c>
      <c r="C2" t="s">
        <v>10</v>
      </c>
      <c r="D2" t="s">
        <v>15</v>
      </c>
      <c r="E2" t="s">
        <v>9</v>
      </c>
      <c r="F2">
        <v>16</v>
      </c>
      <c r="G2">
        <v>2195</v>
      </c>
      <c r="H2">
        <f>F2*G2</f>
        <v>35120</v>
      </c>
    </row>
    <row r="3" spans="1:8" x14ac:dyDescent="0.25">
      <c r="A3">
        <v>2</v>
      </c>
      <c r="B3" s="3">
        <v>40180</v>
      </c>
      <c r="C3" t="s">
        <v>8</v>
      </c>
      <c r="D3" t="s">
        <v>16</v>
      </c>
      <c r="E3" t="s">
        <v>9</v>
      </c>
      <c r="F3">
        <v>16</v>
      </c>
      <c r="G3">
        <v>3971</v>
      </c>
      <c r="H3">
        <f t="shared" ref="H3:H21" si="0">F3*G3</f>
        <v>63536</v>
      </c>
    </row>
    <row r="4" spans="1:8" x14ac:dyDescent="0.25">
      <c r="A4">
        <v>3</v>
      </c>
      <c r="B4" s="3">
        <v>40181</v>
      </c>
      <c r="C4" t="s">
        <v>12</v>
      </c>
      <c r="D4" t="s">
        <v>17</v>
      </c>
      <c r="E4" t="s">
        <v>9</v>
      </c>
      <c r="F4">
        <v>11</v>
      </c>
      <c r="G4">
        <v>4859</v>
      </c>
      <c r="H4">
        <f t="shared" si="0"/>
        <v>53449</v>
      </c>
    </row>
    <row r="5" spans="1:8" x14ac:dyDescent="0.25">
      <c r="A5">
        <v>4</v>
      </c>
      <c r="B5" s="3">
        <v>40182</v>
      </c>
      <c r="C5" t="s">
        <v>11</v>
      </c>
      <c r="D5" t="s">
        <v>18</v>
      </c>
      <c r="E5" t="s">
        <v>9</v>
      </c>
      <c r="F5">
        <v>16</v>
      </c>
      <c r="G5">
        <v>2055</v>
      </c>
      <c r="H5">
        <f t="shared" si="0"/>
        <v>32880</v>
      </c>
    </row>
    <row r="6" spans="1:8" x14ac:dyDescent="0.25">
      <c r="A6">
        <v>5</v>
      </c>
      <c r="B6" s="3">
        <v>40183</v>
      </c>
      <c r="C6" t="s">
        <v>14</v>
      </c>
      <c r="D6" t="s">
        <v>19</v>
      </c>
      <c r="E6" t="s">
        <v>9</v>
      </c>
      <c r="F6">
        <v>17</v>
      </c>
      <c r="G6">
        <v>3892</v>
      </c>
      <c r="H6">
        <f t="shared" si="0"/>
        <v>66164</v>
      </c>
    </row>
    <row r="7" spans="1:8" x14ac:dyDescent="0.25">
      <c r="A7">
        <v>6</v>
      </c>
      <c r="B7" s="3">
        <v>40184</v>
      </c>
      <c r="C7" t="s">
        <v>10</v>
      </c>
      <c r="D7" t="s">
        <v>15</v>
      </c>
      <c r="E7" t="s">
        <v>9</v>
      </c>
      <c r="F7">
        <v>11</v>
      </c>
      <c r="G7">
        <v>4640</v>
      </c>
      <c r="H7">
        <f t="shared" si="0"/>
        <v>51040</v>
      </c>
    </row>
    <row r="8" spans="1:8" x14ac:dyDescent="0.25">
      <c r="A8">
        <v>7</v>
      </c>
      <c r="B8" s="3">
        <v>40185</v>
      </c>
      <c r="C8" t="s">
        <v>8</v>
      </c>
      <c r="D8" t="s">
        <v>16</v>
      </c>
      <c r="E8" t="s">
        <v>9</v>
      </c>
      <c r="F8">
        <v>16</v>
      </c>
      <c r="G8">
        <v>4610</v>
      </c>
      <c r="H8">
        <f t="shared" si="0"/>
        <v>73760</v>
      </c>
    </row>
    <row r="9" spans="1:8" x14ac:dyDescent="0.25">
      <c r="A9">
        <v>8</v>
      </c>
      <c r="B9" s="3">
        <v>40186</v>
      </c>
      <c r="C9" t="s">
        <v>12</v>
      </c>
      <c r="D9" t="s">
        <v>17</v>
      </c>
      <c r="E9" t="s">
        <v>9</v>
      </c>
      <c r="F9">
        <v>18</v>
      </c>
      <c r="G9">
        <v>2221</v>
      </c>
      <c r="H9">
        <f t="shared" si="0"/>
        <v>39978</v>
      </c>
    </row>
    <row r="10" spans="1:8" x14ac:dyDescent="0.25">
      <c r="A10">
        <v>9</v>
      </c>
      <c r="B10" s="3">
        <v>40187</v>
      </c>
      <c r="C10" t="s">
        <v>11</v>
      </c>
      <c r="D10" t="s">
        <v>18</v>
      </c>
      <c r="E10" t="s">
        <v>9</v>
      </c>
      <c r="F10">
        <v>14</v>
      </c>
      <c r="G10">
        <v>3949</v>
      </c>
      <c r="H10">
        <f t="shared" si="0"/>
        <v>55286</v>
      </c>
    </row>
    <row r="11" spans="1:8" x14ac:dyDescent="0.25">
      <c r="A11">
        <v>10</v>
      </c>
      <c r="B11" s="3">
        <v>40188</v>
      </c>
      <c r="C11" t="s">
        <v>14</v>
      </c>
      <c r="D11" t="s">
        <v>19</v>
      </c>
      <c r="E11" t="s">
        <v>9</v>
      </c>
      <c r="F11">
        <v>14</v>
      </c>
      <c r="G11">
        <v>2943</v>
      </c>
      <c r="H11">
        <f t="shared" si="0"/>
        <v>41202</v>
      </c>
    </row>
    <row r="12" spans="1:8" x14ac:dyDescent="0.25">
      <c r="A12">
        <v>11</v>
      </c>
      <c r="B12" s="3">
        <v>40184</v>
      </c>
      <c r="C12" t="s">
        <v>10</v>
      </c>
      <c r="D12" t="s">
        <v>15</v>
      </c>
      <c r="E12" t="s">
        <v>9</v>
      </c>
      <c r="F12">
        <v>11</v>
      </c>
      <c r="G12">
        <v>4640</v>
      </c>
      <c r="H12">
        <f t="shared" si="0"/>
        <v>51040</v>
      </c>
    </row>
    <row r="13" spans="1:8" x14ac:dyDescent="0.25">
      <c r="A13">
        <v>12</v>
      </c>
      <c r="B13" s="3">
        <v>40185</v>
      </c>
      <c r="C13" t="s">
        <v>8</v>
      </c>
      <c r="D13" t="s">
        <v>16</v>
      </c>
      <c r="E13" t="s">
        <v>9</v>
      </c>
      <c r="F13">
        <v>16</v>
      </c>
      <c r="G13">
        <v>4610</v>
      </c>
      <c r="H13">
        <f t="shared" si="0"/>
        <v>73760</v>
      </c>
    </row>
    <row r="14" spans="1:8" x14ac:dyDescent="0.25">
      <c r="A14">
        <v>13</v>
      </c>
      <c r="B14" s="3">
        <v>40186</v>
      </c>
      <c r="C14" t="s">
        <v>12</v>
      </c>
      <c r="D14" t="s">
        <v>17</v>
      </c>
      <c r="E14" t="s">
        <v>9</v>
      </c>
      <c r="F14">
        <v>18</v>
      </c>
      <c r="G14">
        <v>2221</v>
      </c>
      <c r="H14">
        <f t="shared" si="0"/>
        <v>39978</v>
      </c>
    </row>
    <row r="15" spans="1:8" x14ac:dyDescent="0.25">
      <c r="A15">
        <v>14</v>
      </c>
      <c r="B15" s="3">
        <v>40187</v>
      </c>
      <c r="C15" t="s">
        <v>11</v>
      </c>
      <c r="D15" t="s">
        <v>18</v>
      </c>
      <c r="E15" t="s">
        <v>9</v>
      </c>
      <c r="F15">
        <v>14</v>
      </c>
      <c r="G15">
        <v>3949</v>
      </c>
      <c r="H15">
        <f t="shared" si="0"/>
        <v>55286</v>
      </c>
    </row>
    <row r="16" spans="1:8" x14ac:dyDescent="0.25">
      <c r="A16">
        <v>15</v>
      </c>
      <c r="B16" s="3">
        <v>40188</v>
      </c>
      <c r="C16" t="s">
        <v>14</v>
      </c>
      <c r="D16" t="s">
        <v>19</v>
      </c>
      <c r="E16" t="s">
        <v>9</v>
      </c>
      <c r="F16">
        <v>14</v>
      </c>
      <c r="G16">
        <v>2943</v>
      </c>
      <c r="H16">
        <f t="shared" si="0"/>
        <v>41202</v>
      </c>
    </row>
    <row r="17" spans="1:8" x14ac:dyDescent="0.25">
      <c r="A17">
        <v>16</v>
      </c>
      <c r="B17" s="3">
        <v>40179</v>
      </c>
      <c r="C17" t="s">
        <v>10</v>
      </c>
      <c r="D17" t="s">
        <v>15</v>
      </c>
      <c r="E17" t="s">
        <v>9</v>
      </c>
      <c r="F17" s="14">
        <v>20</v>
      </c>
      <c r="G17" s="14">
        <v>2843</v>
      </c>
      <c r="H17" s="14">
        <f t="shared" si="0"/>
        <v>56860</v>
      </c>
    </row>
    <row r="18" spans="1:8" x14ac:dyDescent="0.25">
      <c r="A18">
        <v>17</v>
      </c>
      <c r="B18" s="3">
        <v>40180</v>
      </c>
      <c r="C18" t="s">
        <v>8</v>
      </c>
      <c r="D18" t="s">
        <v>16</v>
      </c>
      <c r="E18" t="s">
        <v>9</v>
      </c>
      <c r="F18" s="14">
        <v>22</v>
      </c>
      <c r="G18" s="14">
        <v>3119</v>
      </c>
      <c r="H18" s="14">
        <f t="shared" si="0"/>
        <v>68618</v>
      </c>
    </row>
    <row r="19" spans="1:8" x14ac:dyDescent="0.25">
      <c r="A19">
        <v>18</v>
      </c>
      <c r="B19" s="3">
        <v>40181</v>
      </c>
      <c r="C19" t="s">
        <v>12</v>
      </c>
      <c r="D19" t="s">
        <v>17</v>
      </c>
      <c r="E19" t="s">
        <v>9</v>
      </c>
      <c r="F19" s="14">
        <v>24</v>
      </c>
      <c r="G19" s="14">
        <v>2500</v>
      </c>
      <c r="H19" s="14">
        <f t="shared" si="0"/>
        <v>60000</v>
      </c>
    </row>
    <row r="20" spans="1:8" x14ac:dyDescent="0.25">
      <c r="A20">
        <v>19</v>
      </c>
      <c r="B20" s="3">
        <v>40182</v>
      </c>
      <c r="C20" t="s">
        <v>11</v>
      </c>
      <c r="D20" t="s">
        <v>18</v>
      </c>
      <c r="E20" t="s">
        <v>9</v>
      </c>
      <c r="F20" s="14">
        <v>26</v>
      </c>
      <c r="G20" s="14">
        <v>4437</v>
      </c>
      <c r="H20" s="14">
        <f t="shared" si="0"/>
        <v>115362</v>
      </c>
    </row>
    <row r="21" spans="1:8" x14ac:dyDescent="0.25">
      <c r="A21">
        <v>20</v>
      </c>
      <c r="B21" s="3">
        <v>40183</v>
      </c>
      <c r="C21" t="s">
        <v>14</v>
      </c>
      <c r="D21" t="s">
        <v>19</v>
      </c>
      <c r="E21" t="s">
        <v>9</v>
      </c>
      <c r="F21" s="14">
        <v>28</v>
      </c>
      <c r="G21" s="14">
        <v>2999</v>
      </c>
      <c r="H21" s="14">
        <f t="shared" si="0"/>
        <v>83972</v>
      </c>
    </row>
    <row r="22" spans="1:8" x14ac:dyDescent="0.25">
      <c r="A22">
        <v>21</v>
      </c>
      <c r="B22" s="3">
        <v>40179</v>
      </c>
      <c r="C22" t="s">
        <v>8</v>
      </c>
      <c r="D22" t="s">
        <v>15</v>
      </c>
      <c r="E22" t="s">
        <v>20</v>
      </c>
      <c r="F22">
        <v>16</v>
      </c>
      <c r="G22">
        <v>2856</v>
      </c>
      <c r="H22">
        <f>F22*G22</f>
        <v>45696</v>
      </c>
    </row>
    <row r="23" spans="1:8" x14ac:dyDescent="0.25">
      <c r="A23">
        <v>22</v>
      </c>
      <c r="B23" s="3">
        <v>40180</v>
      </c>
      <c r="C23" t="s">
        <v>10</v>
      </c>
      <c r="D23" t="s">
        <v>16</v>
      </c>
      <c r="E23" t="s">
        <v>20</v>
      </c>
      <c r="F23">
        <v>13</v>
      </c>
      <c r="G23">
        <v>2722</v>
      </c>
      <c r="H23">
        <f t="shared" ref="H23:H41" si="1">F23*G23</f>
        <v>35386</v>
      </c>
    </row>
    <row r="24" spans="1:8" x14ac:dyDescent="0.25">
      <c r="A24">
        <v>23</v>
      </c>
      <c r="B24" s="3">
        <v>40181</v>
      </c>
      <c r="C24" t="s">
        <v>11</v>
      </c>
      <c r="D24" t="s">
        <v>17</v>
      </c>
      <c r="E24" t="s">
        <v>20</v>
      </c>
      <c r="F24">
        <v>18</v>
      </c>
      <c r="G24">
        <v>2900</v>
      </c>
      <c r="H24">
        <f t="shared" si="1"/>
        <v>52200</v>
      </c>
    </row>
    <row r="25" spans="1:8" x14ac:dyDescent="0.25">
      <c r="A25">
        <v>24</v>
      </c>
      <c r="B25" s="3">
        <v>40182</v>
      </c>
      <c r="C25" t="s">
        <v>12</v>
      </c>
      <c r="D25" t="s">
        <v>18</v>
      </c>
      <c r="E25" t="s">
        <v>20</v>
      </c>
      <c r="F25">
        <v>13</v>
      </c>
      <c r="G25">
        <v>2236</v>
      </c>
      <c r="H25">
        <f t="shared" si="1"/>
        <v>29068</v>
      </c>
    </row>
    <row r="26" spans="1:8" x14ac:dyDescent="0.25">
      <c r="A26">
        <v>25</v>
      </c>
      <c r="B26" s="3">
        <v>40183</v>
      </c>
      <c r="C26" t="s">
        <v>13</v>
      </c>
      <c r="D26" t="s">
        <v>19</v>
      </c>
      <c r="E26" t="s">
        <v>20</v>
      </c>
      <c r="F26">
        <v>10</v>
      </c>
      <c r="G26">
        <v>4569</v>
      </c>
      <c r="H26">
        <f t="shared" si="1"/>
        <v>45690</v>
      </c>
    </row>
    <row r="27" spans="1:8" x14ac:dyDescent="0.25">
      <c r="A27">
        <v>26</v>
      </c>
      <c r="B27" s="3">
        <v>40184</v>
      </c>
      <c r="C27" t="s">
        <v>8</v>
      </c>
      <c r="D27" t="s">
        <v>15</v>
      </c>
      <c r="E27" t="s">
        <v>20</v>
      </c>
      <c r="F27">
        <v>11</v>
      </c>
      <c r="G27">
        <v>3782</v>
      </c>
      <c r="H27">
        <f t="shared" si="1"/>
        <v>41602</v>
      </c>
    </row>
    <row r="28" spans="1:8" x14ac:dyDescent="0.25">
      <c r="A28">
        <v>27</v>
      </c>
      <c r="B28" s="3">
        <v>40185</v>
      </c>
      <c r="C28" t="s">
        <v>10</v>
      </c>
      <c r="D28" t="s">
        <v>16</v>
      </c>
      <c r="E28" t="s">
        <v>20</v>
      </c>
      <c r="F28">
        <v>15</v>
      </c>
      <c r="G28">
        <v>2823</v>
      </c>
      <c r="H28">
        <f t="shared" si="1"/>
        <v>42345</v>
      </c>
    </row>
    <row r="29" spans="1:8" x14ac:dyDescent="0.25">
      <c r="A29">
        <v>28</v>
      </c>
      <c r="B29" s="3">
        <v>40186</v>
      </c>
      <c r="C29" t="s">
        <v>11</v>
      </c>
      <c r="D29" t="s">
        <v>17</v>
      </c>
      <c r="E29" t="s">
        <v>20</v>
      </c>
      <c r="F29">
        <v>12</v>
      </c>
      <c r="G29">
        <v>4729</v>
      </c>
      <c r="H29">
        <f t="shared" si="1"/>
        <v>56748</v>
      </c>
    </row>
    <row r="30" spans="1:8" x14ac:dyDescent="0.25">
      <c r="A30">
        <v>29</v>
      </c>
      <c r="B30" s="3">
        <v>40187</v>
      </c>
      <c r="C30" t="s">
        <v>12</v>
      </c>
      <c r="D30" t="s">
        <v>18</v>
      </c>
      <c r="E30" t="s">
        <v>20</v>
      </c>
      <c r="F30">
        <v>12</v>
      </c>
      <c r="G30">
        <v>4007</v>
      </c>
      <c r="H30">
        <f t="shared" si="1"/>
        <v>48084</v>
      </c>
    </row>
    <row r="31" spans="1:8" x14ac:dyDescent="0.25">
      <c r="A31">
        <v>30</v>
      </c>
      <c r="B31" s="3">
        <v>40188</v>
      </c>
      <c r="C31" t="s">
        <v>13</v>
      </c>
      <c r="D31" t="s">
        <v>19</v>
      </c>
      <c r="E31" t="s">
        <v>20</v>
      </c>
      <c r="F31">
        <v>10</v>
      </c>
      <c r="G31">
        <v>3459</v>
      </c>
      <c r="H31">
        <f t="shared" si="1"/>
        <v>34590</v>
      </c>
    </row>
    <row r="32" spans="1:8" x14ac:dyDescent="0.25">
      <c r="A32">
        <v>31</v>
      </c>
      <c r="B32" s="3">
        <v>40184</v>
      </c>
      <c r="C32" t="s">
        <v>8</v>
      </c>
      <c r="D32" t="s">
        <v>15</v>
      </c>
      <c r="E32" t="s">
        <v>20</v>
      </c>
      <c r="F32">
        <v>11</v>
      </c>
      <c r="G32">
        <v>3782</v>
      </c>
      <c r="H32">
        <f t="shared" si="1"/>
        <v>41602</v>
      </c>
    </row>
    <row r="33" spans="1:8" x14ac:dyDescent="0.25">
      <c r="A33">
        <v>32</v>
      </c>
      <c r="B33" s="3">
        <v>40185</v>
      </c>
      <c r="C33" t="s">
        <v>10</v>
      </c>
      <c r="D33" t="s">
        <v>16</v>
      </c>
      <c r="E33" t="s">
        <v>20</v>
      </c>
      <c r="F33">
        <v>15</v>
      </c>
      <c r="G33">
        <v>2823</v>
      </c>
      <c r="H33">
        <f t="shared" si="1"/>
        <v>42345</v>
      </c>
    </row>
    <row r="34" spans="1:8" x14ac:dyDescent="0.25">
      <c r="A34">
        <v>33</v>
      </c>
      <c r="B34" s="3">
        <v>40186</v>
      </c>
      <c r="C34" t="s">
        <v>11</v>
      </c>
      <c r="D34" t="s">
        <v>17</v>
      </c>
      <c r="E34" t="s">
        <v>20</v>
      </c>
      <c r="F34">
        <v>12</v>
      </c>
      <c r="G34">
        <v>4729</v>
      </c>
      <c r="H34">
        <f t="shared" si="1"/>
        <v>56748</v>
      </c>
    </row>
    <row r="35" spans="1:8" x14ac:dyDescent="0.25">
      <c r="A35">
        <v>34</v>
      </c>
      <c r="B35" s="3">
        <v>40187</v>
      </c>
      <c r="C35" t="s">
        <v>12</v>
      </c>
      <c r="D35" t="s">
        <v>18</v>
      </c>
      <c r="E35" t="s">
        <v>20</v>
      </c>
      <c r="F35">
        <v>12</v>
      </c>
      <c r="G35">
        <v>4007</v>
      </c>
      <c r="H35">
        <f t="shared" si="1"/>
        <v>48084</v>
      </c>
    </row>
    <row r="36" spans="1:8" x14ac:dyDescent="0.25">
      <c r="A36">
        <v>35</v>
      </c>
      <c r="B36" s="3">
        <v>40188</v>
      </c>
      <c r="C36" t="s">
        <v>13</v>
      </c>
      <c r="D36" t="s">
        <v>19</v>
      </c>
      <c r="E36" t="s">
        <v>20</v>
      </c>
      <c r="F36">
        <v>10</v>
      </c>
      <c r="G36">
        <v>3459</v>
      </c>
      <c r="H36">
        <f t="shared" si="1"/>
        <v>34590</v>
      </c>
    </row>
    <row r="37" spans="1:8" x14ac:dyDescent="0.25">
      <c r="A37">
        <v>36</v>
      </c>
      <c r="B37" s="3">
        <v>40179</v>
      </c>
      <c r="C37" t="s">
        <v>8</v>
      </c>
      <c r="D37" t="s">
        <v>15</v>
      </c>
      <c r="E37" t="s">
        <v>20</v>
      </c>
      <c r="F37" s="14">
        <v>17</v>
      </c>
      <c r="G37" s="14">
        <v>2467</v>
      </c>
      <c r="H37" s="14">
        <f t="shared" si="1"/>
        <v>41939</v>
      </c>
    </row>
    <row r="38" spans="1:8" x14ac:dyDescent="0.25">
      <c r="A38">
        <v>37</v>
      </c>
      <c r="B38" s="3">
        <v>40180</v>
      </c>
      <c r="C38" t="s">
        <v>10</v>
      </c>
      <c r="D38" t="s">
        <v>16</v>
      </c>
      <c r="E38" t="s">
        <v>20</v>
      </c>
      <c r="F38" s="14">
        <v>14</v>
      </c>
      <c r="G38" s="14">
        <v>3126</v>
      </c>
      <c r="H38" s="14">
        <f t="shared" si="1"/>
        <v>43764</v>
      </c>
    </row>
    <row r="39" spans="1:8" x14ac:dyDescent="0.25">
      <c r="A39">
        <v>38</v>
      </c>
      <c r="B39" s="3">
        <v>40181</v>
      </c>
      <c r="C39" t="s">
        <v>11</v>
      </c>
      <c r="D39" t="s">
        <v>17</v>
      </c>
      <c r="E39" t="s">
        <v>20</v>
      </c>
      <c r="F39" s="14">
        <v>19</v>
      </c>
      <c r="G39" s="14">
        <v>2765</v>
      </c>
      <c r="H39" s="14">
        <f t="shared" si="1"/>
        <v>52535</v>
      </c>
    </row>
    <row r="40" spans="1:8" x14ac:dyDescent="0.25">
      <c r="A40">
        <v>39</v>
      </c>
      <c r="B40" s="3">
        <v>40182</v>
      </c>
      <c r="C40" t="s">
        <v>12</v>
      </c>
      <c r="D40" t="s">
        <v>18</v>
      </c>
      <c r="E40" t="s">
        <v>20</v>
      </c>
      <c r="F40" s="14">
        <v>11</v>
      </c>
      <c r="G40" s="14">
        <v>2250</v>
      </c>
      <c r="H40" s="14">
        <f t="shared" si="1"/>
        <v>24750</v>
      </c>
    </row>
    <row r="41" spans="1:8" x14ac:dyDescent="0.25">
      <c r="A41">
        <v>40</v>
      </c>
      <c r="B41" s="3">
        <v>40183</v>
      </c>
      <c r="C41" t="s">
        <v>13</v>
      </c>
      <c r="D41" t="s">
        <v>19</v>
      </c>
      <c r="E41" t="s">
        <v>20</v>
      </c>
      <c r="F41" s="14">
        <v>15</v>
      </c>
      <c r="G41" s="14">
        <v>4597</v>
      </c>
      <c r="H41" s="14">
        <f t="shared" si="1"/>
        <v>68955</v>
      </c>
    </row>
    <row r="42" spans="1:8" x14ac:dyDescent="0.25">
      <c r="A42">
        <v>41</v>
      </c>
      <c r="B42" s="3">
        <v>40179</v>
      </c>
      <c r="C42" t="s">
        <v>11</v>
      </c>
      <c r="D42" t="s">
        <v>15</v>
      </c>
      <c r="E42" t="s">
        <v>21</v>
      </c>
      <c r="F42">
        <v>10</v>
      </c>
      <c r="G42">
        <v>4057</v>
      </c>
      <c r="H42">
        <f>F42*G42</f>
        <v>40570</v>
      </c>
    </row>
    <row r="43" spans="1:8" x14ac:dyDescent="0.25">
      <c r="A43">
        <v>42</v>
      </c>
      <c r="B43" s="3">
        <v>40180</v>
      </c>
      <c r="C43" t="s">
        <v>14</v>
      </c>
      <c r="D43" t="s">
        <v>16</v>
      </c>
      <c r="E43" t="s">
        <v>21</v>
      </c>
      <c r="F43">
        <v>18</v>
      </c>
      <c r="G43">
        <v>3809</v>
      </c>
      <c r="H43">
        <f t="shared" ref="H43:H61" si="2">F43*G43</f>
        <v>68562</v>
      </c>
    </row>
    <row r="44" spans="1:8" x14ac:dyDescent="0.25">
      <c r="A44">
        <v>43</v>
      </c>
      <c r="B44" s="3">
        <v>40181</v>
      </c>
      <c r="C44" t="s">
        <v>10</v>
      </c>
      <c r="D44" t="s">
        <v>17</v>
      </c>
      <c r="E44" t="s">
        <v>21</v>
      </c>
      <c r="F44">
        <v>16</v>
      </c>
      <c r="G44">
        <v>3987</v>
      </c>
      <c r="H44">
        <f t="shared" si="2"/>
        <v>63792</v>
      </c>
    </row>
    <row r="45" spans="1:8" x14ac:dyDescent="0.25">
      <c r="A45">
        <v>44</v>
      </c>
      <c r="B45" s="3">
        <v>40182</v>
      </c>
      <c r="C45" t="s">
        <v>8</v>
      </c>
      <c r="D45" t="s">
        <v>18</v>
      </c>
      <c r="E45" t="s">
        <v>21</v>
      </c>
      <c r="F45">
        <v>10</v>
      </c>
      <c r="G45">
        <v>2346</v>
      </c>
      <c r="H45">
        <f t="shared" si="2"/>
        <v>23460</v>
      </c>
    </row>
    <row r="46" spans="1:8" x14ac:dyDescent="0.25">
      <c r="A46">
        <v>45</v>
      </c>
      <c r="B46" s="3">
        <v>40183</v>
      </c>
      <c r="C46" t="s">
        <v>8</v>
      </c>
      <c r="D46" t="s">
        <v>19</v>
      </c>
      <c r="E46" t="s">
        <v>21</v>
      </c>
      <c r="F46">
        <v>8</v>
      </c>
      <c r="G46">
        <v>4953</v>
      </c>
      <c r="H46">
        <f t="shared" si="2"/>
        <v>39624</v>
      </c>
    </row>
    <row r="47" spans="1:8" x14ac:dyDescent="0.25">
      <c r="A47">
        <v>46</v>
      </c>
      <c r="B47" s="3">
        <v>40184</v>
      </c>
      <c r="C47" t="s">
        <v>11</v>
      </c>
      <c r="D47" t="s">
        <v>15</v>
      </c>
      <c r="E47" t="s">
        <v>21</v>
      </c>
      <c r="F47">
        <v>18</v>
      </c>
      <c r="G47">
        <v>4088</v>
      </c>
      <c r="H47">
        <f t="shared" si="2"/>
        <v>73584</v>
      </c>
    </row>
    <row r="48" spans="1:8" x14ac:dyDescent="0.25">
      <c r="A48">
        <v>47</v>
      </c>
      <c r="B48" s="3">
        <v>40185</v>
      </c>
      <c r="C48" t="s">
        <v>14</v>
      </c>
      <c r="D48" t="s">
        <v>16</v>
      </c>
      <c r="E48" t="s">
        <v>21</v>
      </c>
      <c r="F48">
        <v>15</v>
      </c>
      <c r="G48">
        <v>2531</v>
      </c>
      <c r="H48">
        <f t="shared" si="2"/>
        <v>37965</v>
      </c>
    </row>
    <row r="49" spans="1:8" x14ac:dyDescent="0.25">
      <c r="A49">
        <v>48</v>
      </c>
      <c r="B49" s="3">
        <v>40186</v>
      </c>
      <c r="C49" t="s">
        <v>10</v>
      </c>
      <c r="D49" t="s">
        <v>17</v>
      </c>
      <c r="E49" t="s">
        <v>21</v>
      </c>
      <c r="F49">
        <v>13</v>
      </c>
      <c r="G49">
        <v>4716</v>
      </c>
      <c r="H49">
        <f t="shared" si="2"/>
        <v>61308</v>
      </c>
    </row>
    <row r="50" spans="1:8" x14ac:dyDescent="0.25">
      <c r="A50">
        <v>49</v>
      </c>
      <c r="B50" s="3">
        <v>40187</v>
      </c>
      <c r="C50" t="s">
        <v>8</v>
      </c>
      <c r="D50" t="s">
        <v>18</v>
      </c>
      <c r="E50" t="s">
        <v>21</v>
      </c>
      <c r="F50">
        <v>11</v>
      </c>
      <c r="G50">
        <v>2806</v>
      </c>
      <c r="H50">
        <f t="shared" si="2"/>
        <v>30866</v>
      </c>
    </row>
    <row r="51" spans="1:8" x14ac:dyDescent="0.25">
      <c r="A51">
        <v>50</v>
      </c>
      <c r="B51" s="3">
        <v>40188</v>
      </c>
      <c r="C51" t="s">
        <v>8</v>
      </c>
      <c r="D51" t="s">
        <v>19</v>
      </c>
      <c r="E51" t="s">
        <v>21</v>
      </c>
      <c r="F51">
        <v>5</v>
      </c>
      <c r="G51">
        <v>3350</v>
      </c>
      <c r="H51">
        <f t="shared" si="2"/>
        <v>16750</v>
      </c>
    </row>
    <row r="52" spans="1:8" x14ac:dyDescent="0.25">
      <c r="A52">
        <v>51</v>
      </c>
      <c r="B52" s="3">
        <v>40184</v>
      </c>
      <c r="C52" t="s">
        <v>11</v>
      </c>
      <c r="D52" t="s">
        <v>15</v>
      </c>
      <c r="E52" t="s">
        <v>21</v>
      </c>
      <c r="F52">
        <v>18</v>
      </c>
      <c r="G52">
        <v>4088</v>
      </c>
      <c r="H52">
        <f t="shared" si="2"/>
        <v>73584</v>
      </c>
    </row>
    <row r="53" spans="1:8" x14ac:dyDescent="0.25">
      <c r="A53">
        <v>52</v>
      </c>
      <c r="B53" s="3">
        <v>40185</v>
      </c>
      <c r="C53" t="s">
        <v>14</v>
      </c>
      <c r="D53" t="s">
        <v>16</v>
      </c>
      <c r="E53" t="s">
        <v>21</v>
      </c>
      <c r="F53">
        <v>15</v>
      </c>
      <c r="G53">
        <v>2531</v>
      </c>
      <c r="H53">
        <f t="shared" si="2"/>
        <v>37965</v>
      </c>
    </row>
    <row r="54" spans="1:8" x14ac:dyDescent="0.25">
      <c r="A54">
        <v>53</v>
      </c>
      <c r="B54" s="3">
        <v>40186</v>
      </c>
      <c r="C54" t="s">
        <v>10</v>
      </c>
      <c r="D54" t="s">
        <v>17</v>
      </c>
      <c r="E54" t="s">
        <v>21</v>
      </c>
      <c r="F54">
        <v>13</v>
      </c>
      <c r="G54">
        <v>4716</v>
      </c>
      <c r="H54">
        <f t="shared" si="2"/>
        <v>61308</v>
      </c>
    </row>
    <row r="55" spans="1:8" x14ac:dyDescent="0.25">
      <c r="A55">
        <v>54</v>
      </c>
      <c r="B55" s="3">
        <v>40187</v>
      </c>
      <c r="C55" t="s">
        <v>8</v>
      </c>
      <c r="D55" t="s">
        <v>18</v>
      </c>
      <c r="E55" t="s">
        <v>21</v>
      </c>
      <c r="F55">
        <v>11</v>
      </c>
      <c r="G55">
        <v>2806</v>
      </c>
      <c r="H55">
        <f t="shared" si="2"/>
        <v>30866</v>
      </c>
    </row>
    <row r="56" spans="1:8" x14ac:dyDescent="0.25">
      <c r="A56">
        <v>55</v>
      </c>
      <c r="B56" s="3">
        <v>40188</v>
      </c>
      <c r="C56" t="s">
        <v>8</v>
      </c>
      <c r="D56" t="s">
        <v>19</v>
      </c>
      <c r="E56" t="s">
        <v>21</v>
      </c>
      <c r="F56">
        <v>5</v>
      </c>
      <c r="G56">
        <v>3350</v>
      </c>
      <c r="H56">
        <f t="shared" si="2"/>
        <v>16750</v>
      </c>
    </row>
    <row r="57" spans="1:8" x14ac:dyDescent="0.25">
      <c r="A57">
        <v>56</v>
      </c>
      <c r="B57" s="3">
        <v>40179</v>
      </c>
      <c r="C57" t="s">
        <v>11</v>
      </c>
      <c r="D57" t="s">
        <v>15</v>
      </c>
      <c r="E57" t="s">
        <v>21</v>
      </c>
      <c r="F57" s="14">
        <v>11</v>
      </c>
      <c r="G57" s="14">
        <v>2300</v>
      </c>
      <c r="H57" s="14">
        <f t="shared" si="2"/>
        <v>25300</v>
      </c>
    </row>
    <row r="58" spans="1:8" x14ac:dyDescent="0.25">
      <c r="A58">
        <v>57</v>
      </c>
      <c r="B58" s="3">
        <v>40180</v>
      </c>
      <c r="C58" t="s">
        <v>14</v>
      </c>
      <c r="D58" t="s">
        <v>16</v>
      </c>
      <c r="E58" t="s">
        <v>21</v>
      </c>
      <c r="F58" s="14">
        <v>12</v>
      </c>
      <c r="G58" s="14">
        <v>3200</v>
      </c>
      <c r="H58" s="14">
        <f t="shared" si="2"/>
        <v>38400</v>
      </c>
    </row>
    <row r="59" spans="1:8" x14ac:dyDescent="0.25">
      <c r="A59">
        <v>58</v>
      </c>
      <c r="B59" s="3">
        <v>40181</v>
      </c>
      <c r="C59" t="s">
        <v>10</v>
      </c>
      <c r="D59" t="s">
        <v>17</v>
      </c>
      <c r="E59" t="s">
        <v>21</v>
      </c>
      <c r="F59" s="14">
        <v>13</v>
      </c>
      <c r="G59" s="14">
        <v>4100</v>
      </c>
      <c r="H59" s="14">
        <f t="shared" si="2"/>
        <v>53300</v>
      </c>
    </row>
    <row r="60" spans="1:8" x14ac:dyDescent="0.25">
      <c r="A60">
        <v>59</v>
      </c>
      <c r="B60" s="3">
        <v>40182</v>
      </c>
      <c r="C60" t="s">
        <v>8</v>
      </c>
      <c r="D60" t="s">
        <v>18</v>
      </c>
      <c r="E60" t="s">
        <v>21</v>
      </c>
      <c r="F60" s="14">
        <v>14</v>
      </c>
      <c r="G60" s="14">
        <v>3500</v>
      </c>
      <c r="H60" s="14">
        <f t="shared" si="2"/>
        <v>49000</v>
      </c>
    </row>
    <row r="61" spans="1:8" x14ac:dyDescent="0.25">
      <c r="A61">
        <v>60</v>
      </c>
      <c r="B61" s="3">
        <v>40183</v>
      </c>
      <c r="C61" t="s">
        <v>8</v>
      </c>
      <c r="D61" t="s">
        <v>19</v>
      </c>
      <c r="E61" t="s">
        <v>21</v>
      </c>
      <c r="F61" s="14">
        <v>15</v>
      </c>
      <c r="G61" s="14">
        <v>4800</v>
      </c>
      <c r="H61" s="14">
        <f t="shared" si="2"/>
        <v>72000</v>
      </c>
    </row>
    <row r="62" spans="1:8" x14ac:dyDescent="0.25">
      <c r="A62">
        <v>61</v>
      </c>
      <c r="B62" s="3">
        <v>40179</v>
      </c>
      <c r="C62" t="s">
        <v>13</v>
      </c>
      <c r="D62" t="s">
        <v>15</v>
      </c>
      <c r="E62" t="s">
        <v>22</v>
      </c>
      <c r="F62">
        <v>5</v>
      </c>
      <c r="G62">
        <v>3270</v>
      </c>
      <c r="H62">
        <f>F62*G62</f>
        <v>16350</v>
      </c>
    </row>
    <row r="63" spans="1:8" x14ac:dyDescent="0.25">
      <c r="A63">
        <v>62</v>
      </c>
      <c r="B63" s="3">
        <v>40180</v>
      </c>
      <c r="C63" t="s">
        <v>12</v>
      </c>
      <c r="D63" t="s">
        <v>16</v>
      </c>
      <c r="E63" t="s">
        <v>22</v>
      </c>
      <c r="F63">
        <v>17</v>
      </c>
      <c r="G63">
        <v>4245</v>
      </c>
      <c r="H63">
        <f t="shared" ref="H63:H82" si="3">F63*G63</f>
        <v>72165</v>
      </c>
    </row>
    <row r="64" spans="1:8" x14ac:dyDescent="0.25">
      <c r="A64">
        <v>63</v>
      </c>
      <c r="B64" s="3">
        <v>40181</v>
      </c>
      <c r="C64" t="s">
        <v>13</v>
      </c>
      <c r="D64" t="s">
        <v>17</v>
      </c>
      <c r="E64" t="s">
        <v>22</v>
      </c>
      <c r="F64">
        <v>5</v>
      </c>
      <c r="G64">
        <v>4864</v>
      </c>
      <c r="H64">
        <f t="shared" si="3"/>
        <v>24320</v>
      </c>
    </row>
    <row r="65" spans="1:8" x14ac:dyDescent="0.25">
      <c r="A65">
        <v>64</v>
      </c>
      <c r="B65" s="3">
        <v>40182</v>
      </c>
      <c r="C65" t="s">
        <v>13</v>
      </c>
      <c r="D65" t="s">
        <v>18</v>
      </c>
      <c r="E65" t="s">
        <v>22</v>
      </c>
      <c r="F65">
        <v>6</v>
      </c>
      <c r="G65">
        <v>2381</v>
      </c>
      <c r="H65">
        <f t="shared" si="3"/>
        <v>14286</v>
      </c>
    </row>
    <row r="66" spans="1:8" x14ac:dyDescent="0.25">
      <c r="A66">
        <v>65</v>
      </c>
      <c r="B66" s="3">
        <v>40183</v>
      </c>
      <c r="C66" t="s">
        <v>11</v>
      </c>
      <c r="D66" t="s">
        <v>19</v>
      </c>
      <c r="E66" t="s">
        <v>22</v>
      </c>
      <c r="F66">
        <v>10</v>
      </c>
      <c r="G66">
        <v>3503</v>
      </c>
      <c r="H66">
        <f t="shared" si="3"/>
        <v>35030</v>
      </c>
    </row>
    <row r="67" spans="1:8" x14ac:dyDescent="0.25">
      <c r="A67">
        <v>66</v>
      </c>
      <c r="B67" s="3">
        <v>40184</v>
      </c>
      <c r="C67" t="s">
        <v>13</v>
      </c>
      <c r="D67" t="s">
        <v>15</v>
      </c>
      <c r="E67" t="s">
        <v>22</v>
      </c>
      <c r="F67">
        <v>5</v>
      </c>
      <c r="G67">
        <v>3176</v>
      </c>
      <c r="H67">
        <f t="shared" si="3"/>
        <v>15880</v>
      </c>
    </row>
    <row r="68" spans="1:8" x14ac:dyDescent="0.25">
      <c r="A68">
        <v>67</v>
      </c>
      <c r="B68" s="3">
        <v>40185</v>
      </c>
      <c r="C68" t="s">
        <v>12</v>
      </c>
      <c r="D68" t="s">
        <v>16</v>
      </c>
      <c r="E68" t="s">
        <v>22</v>
      </c>
      <c r="F68">
        <v>12</v>
      </c>
      <c r="G68">
        <v>4192</v>
      </c>
      <c r="H68">
        <f t="shared" si="3"/>
        <v>50304</v>
      </c>
    </row>
    <row r="69" spans="1:8" x14ac:dyDescent="0.25">
      <c r="A69">
        <v>68</v>
      </c>
      <c r="B69" s="3">
        <v>40186</v>
      </c>
      <c r="C69" t="s">
        <v>13</v>
      </c>
      <c r="D69" t="s">
        <v>17</v>
      </c>
      <c r="E69" t="s">
        <v>22</v>
      </c>
      <c r="F69">
        <v>2</v>
      </c>
      <c r="G69">
        <v>4793</v>
      </c>
      <c r="H69">
        <f t="shared" si="3"/>
        <v>9586</v>
      </c>
    </row>
    <row r="70" spans="1:8" x14ac:dyDescent="0.25">
      <c r="A70">
        <v>69</v>
      </c>
      <c r="B70" s="3">
        <v>40187</v>
      </c>
      <c r="C70" t="s">
        <v>13</v>
      </c>
      <c r="D70" t="s">
        <v>18</v>
      </c>
      <c r="E70" t="s">
        <v>22</v>
      </c>
      <c r="F70">
        <v>5</v>
      </c>
      <c r="G70">
        <v>2204</v>
      </c>
      <c r="H70">
        <f t="shared" si="3"/>
        <v>11020</v>
      </c>
    </row>
    <row r="71" spans="1:8" x14ac:dyDescent="0.25">
      <c r="A71">
        <v>70</v>
      </c>
      <c r="B71" s="3">
        <v>40188</v>
      </c>
      <c r="C71" t="s">
        <v>11</v>
      </c>
      <c r="D71" t="s">
        <v>19</v>
      </c>
      <c r="E71" t="s">
        <v>22</v>
      </c>
      <c r="F71">
        <v>18</v>
      </c>
      <c r="G71">
        <v>4183</v>
      </c>
      <c r="H71">
        <f t="shared" si="3"/>
        <v>75294</v>
      </c>
    </row>
    <row r="72" spans="1:8" x14ac:dyDescent="0.25">
      <c r="A72">
        <v>71</v>
      </c>
      <c r="B72" s="3">
        <v>40183</v>
      </c>
      <c r="C72" t="s">
        <v>11</v>
      </c>
      <c r="D72" t="s">
        <v>19</v>
      </c>
      <c r="E72" t="s">
        <v>22</v>
      </c>
      <c r="F72">
        <v>10</v>
      </c>
      <c r="G72">
        <v>3503</v>
      </c>
      <c r="H72">
        <f t="shared" si="3"/>
        <v>35030</v>
      </c>
    </row>
    <row r="73" spans="1:8" x14ac:dyDescent="0.25">
      <c r="A73">
        <v>72</v>
      </c>
      <c r="B73" s="3">
        <v>40184</v>
      </c>
      <c r="C73" t="s">
        <v>13</v>
      </c>
      <c r="D73" t="s">
        <v>15</v>
      </c>
      <c r="E73" t="s">
        <v>22</v>
      </c>
      <c r="F73">
        <v>5</v>
      </c>
      <c r="G73">
        <v>3176</v>
      </c>
      <c r="H73">
        <f t="shared" si="3"/>
        <v>15880</v>
      </c>
    </row>
    <row r="74" spans="1:8" x14ac:dyDescent="0.25">
      <c r="A74">
        <v>73</v>
      </c>
      <c r="B74" s="3">
        <v>40185</v>
      </c>
      <c r="C74" t="s">
        <v>12</v>
      </c>
      <c r="D74" t="s">
        <v>16</v>
      </c>
      <c r="E74" t="s">
        <v>22</v>
      </c>
      <c r="F74">
        <v>12</v>
      </c>
      <c r="G74">
        <v>4192</v>
      </c>
      <c r="H74">
        <f t="shared" si="3"/>
        <v>50304</v>
      </c>
    </row>
    <row r="75" spans="1:8" x14ac:dyDescent="0.25">
      <c r="A75">
        <v>74</v>
      </c>
      <c r="B75" s="3">
        <v>40186</v>
      </c>
      <c r="C75" t="s">
        <v>13</v>
      </c>
      <c r="D75" t="s">
        <v>17</v>
      </c>
      <c r="E75" t="s">
        <v>22</v>
      </c>
      <c r="F75">
        <v>2</v>
      </c>
      <c r="G75">
        <v>4793</v>
      </c>
      <c r="H75">
        <f t="shared" si="3"/>
        <v>9586</v>
      </c>
    </row>
    <row r="76" spans="1:8" x14ac:dyDescent="0.25">
      <c r="A76">
        <v>75</v>
      </c>
      <c r="B76" s="3">
        <v>40187</v>
      </c>
      <c r="C76" t="s">
        <v>13</v>
      </c>
      <c r="D76" t="s">
        <v>18</v>
      </c>
      <c r="E76" t="s">
        <v>22</v>
      </c>
      <c r="F76">
        <v>5</v>
      </c>
      <c r="G76">
        <v>2204</v>
      </c>
      <c r="H76">
        <f t="shared" si="3"/>
        <v>11020</v>
      </c>
    </row>
    <row r="77" spans="1:8" x14ac:dyDescent="0.25">
      <c r="A77">
        <v>76</v>
      </c>
      <c r="B77" s="3">
        <v>40188</v>
      </c>
      <c r="C77" t="s">
        <v>11</v>
      </c>
      <c r="D77" t="s">
        <v>19</v>
      </c>
      <c r="E77" t="s">
        <v>22</v>
      </c>
      <c r="F77">
        <v>18</v>
      </c>
      <c r="G77">
        <v>4183</v>
      </c>
      <c r="H77">
        <f t="shared" si="3"/>
        <v>75294</v>
      </c>
    </row>
    <row r="78" spans="1:8" x14ac:dyDescent="0.25">
      <c r="A78">
        <v>77</v>
      </c>
      <c r="B78" s="3">
        <v>40179</v>
      </c>
      <c r="C78" t="s">
        <v>13</v>
      </c>
      <c r="D78" t="s">
        <v>15</v>
      </c>
      <c r="E78" t="s">
        <v>22</v>
      </c>
      <c r="F78" s="14">
        <v>10</v>
      </c>
      <c r="G78" s="14">
        <v>5000</v>
      </c>
      <c r="H78" s="14">
        <f t="shared" si="3"/>
        <v>50000</v>
      </c>
    </row>
    <row r="79" spans="1:8" x14ac:dyDescent="0.25">
      <c r="A79">
        <v>78</v>
      </c>
      <c r="B79" s="3">
        <v>40180</v>
      </c>
      <c r="C79" t="s">
        <v>12</v>
      </c>
      <c r="D79" t="s">
        <v>16</v>
      </c>
      <c r="E79" t="s">
        <v>22</v>
      </c>
      <c r="F79" s="14">
        <v>13</v>
      </c>
      <c r="G79" s="14">
        <v>4300</v>
      </c>
      <c r="H79" s="14">
        <f t="shared" si="3"/>
        <v>55900</v>
      </c>
    </row>
    <row r="80" spans="1:8" x14ac:dyDescent="0.25">
      <c r="A80">
        <v>79</v>
      </c>
      <c r="B80" s="3">
        <v>40181</v>
      </c>
      <c r="C80" t="s">
        <v>13</v>
      </c>
      <c r="D80" t="s">
        <v>17</v>
      </c>
      <c r="E80" t="s">
        <v>22</v>
      </c>
      <c r="F80" s="14">
        <v>14</v>
      </c>
      <c r="G80" s="14">
        <v>2390</v>
      </c>
      <c r="H80" s="14">
        <f t="shared" si="3"/>
        <v>33460</v>
      </c>
    </row>
    <row r="81" spans="1:8" x14ac:dyDescent="0.25">
      <c r="A81">
        <v>80</v>
      </c>
      <c r="B81" s="3">
        <v>40182</v>
      </c>
      <c r="C81" t="s">
        <v>13</v>
      </c>
      <c r="D81" t="s">
        <v>18</v>
      </c>
      <c r="E81" t="s">
        <v>22</v>
      </c>
      <c r="F81" s="14">
        <v>17</v>
      </c>
      <c r="G81" s="14">
        <v>4444</v>
      </c>
      <c r="H81" s="14">
        <f t="shared" si="3"/>
        <v>75548</v>
      </c>
    </row>
    <row r="82" spans="1:8" x14ac:dyDescent="0.25">
      <c r="A82">
        <v>81</v>
      </c>
      <c r="B82" s="3">
        <v>40183</v>
      </c>
      <c r="C82" t="s">
        <v>11</v>
      </c>
      <c r="D82" t="s">
        <v>19</v>
      </c>
      <c r="E82" t="s">
        <v>22</v>
      </c>
      <c r="F82" s="14">
        <v>19</v>
      </c>
      <c r="G82" s="14">
        <v>3322</v>
      </c>
      <c r="H82" s="14">
        <f t="shared" si="3"/>
        <v>63118</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21"/>
  <sheetViews>
    <sheetView workbookViewId="0">
      <selection sqref="A1:H21"/>
    </sheetView>
  </sheetViews>
  <sheetFormatPr defaultRowHeight="15" x14ac:dyDescent="0.25"/>
  <cols>
    <col min="1" max="1" width="9.140625" style="1"/>
    <col min="2" max="2" width="11.42578125" style="1" customWidth="1"/>
    <col min="3" max="3" width="14" customWidth="1"/>
    <col min="4" max="4" width="18.85546875" customWidth="1"/>
    <col min="5" max="7" width="9.140625" style="1"/>
    <col min="8" max="8" width="12.5703125" style="1" customWidth="1"/>
  </cols>
  <sheetData>
    <row r="1" spans="1:8" x14ac:dyDescent="0.25">
      <c r="A1" t="s">
        <v>7</v>
      </c>
      <c r="B1" t="s">
        <v>0</v>
      </c>
      <c r="C1" t="s">
        <v>1</v>
      </c>
      <c r="D1" t="s">
        <v>2</v>
      </c>
      <c r="E1" t="s">
        <v>3</v>
      </c>
      <c r="F1" t="s">
        <v>4</v>
      </c>
      <c r="G1" t="s">
        <v>5</v>
      </c>
      <c r="H1" t="s">
        <v>6</v>
      </c>
    </row>
    <row r="2" spans="1:8" x14ac:dyDescent="0.25">
      <c r="A2">
        <v>1</v>
      </c>
      <c r="B2" s="3">
        <v>40179</v>
      </c>
      <c r="C2" t="s">
        <v>10</v>
      </c>
      <c r="D2" t="s">
        <v>15</v>
      </c>
      <c r="E2" t="s">
        <v>9</v>
      </c>
      <c r="F2">
        <v>16</v>
      </c>
      <c r="G2">
        <v>2195</v>
      </c>
      <c r="H2">
        <f>F2*G2</f>
        <v>35120</v>
      </c>
    </row>
    <row r="3" spans="1:8" x14ac:dyDescent="0.25">
      <c r="A3">
        <v>2</v>
      </c>
      <c r="B3" s="3">
        <v>40180</v>
      </c>
      <c r="C3" t="s">
        <v>8</v>
      </c>
      <c r="D3" t="s">
        <v>16</v>
      </c>
      <c r="E3" t="s">
        <v>9</v>
      </c>
      <c r="F3">
        <v>16</v>
      </c>
      <c r="G3">
        <v>3971</v>
      </c>
      <c r="H3">
        <f t="shared" ref="H3:H11" si="0">F3*G3</f>
        <v>63536</v>
      </c>
    </row>
    <row r="4" spans="1:8" x14ac:dyDescent="0.25">
      <c r="A4">
        <v>3</v>
      </c>
      <c r="B4" s="3">
        <v>40181</v>
      </c>
      <c r="C4" t="s">
        <v>12</v>
      </c>
      <c r="D4" t="s">
        <v>17</v>
      </c>
      <c r="E4" t="s">
        <v>9</v>
      </c>
      <c r="F4">
        <v>11</v>
      </c>
      <c r="G4">
        <v>4859</v>
      </c>
      <c r="H4">
        <f t="shared" si="0"/>
        <v>53449</v>
      </c>
    </row>
    <row r="5" spans="1:8" x14ac:dyDescent="0.25">
      <c r="A5">
        <v>4</v>
      </c>
      <c r="B5" s="3">
        <v>40182</v>
      </c>
      <c r="C5" t="s">
        <v>11</v>
      </c>
      <c r="D5" t="s">
        <v>18</v>
      </c>
      <c r="E5" t="s">
        <v>9</v>
      </c>
      <c r="F5">
        <v>16</v>
      </c>
      <c r="G5">
        <v>2055</v>
      </c>
      <c r="H5">
        <f t="shared" si="0"/>
        <v>32880</v>
      </c>
    </row>
    <row r="6" spans="1:8" x14ac:dyDescent="0.25">
      <c r="A6">
        <v>5</v>
      </c>
      <c r="B6" s="3">
        <v>40183</v>
      </c>
      <c r="C6" t="s">
        <v>14</v>
      </c>
      <c r="D6" t="s">
        <v>19</v>
      </c>
      <c r="E6" t="s">
        <v>9</v>
      </c>
      <c r="F6">
        <v>17</v>
      </c>
      <c r="G6">
        <v>3892</v>
      </c>
      <c r="H6">
        <f t="shared" si="0"/>
        <v>66164</v>
      </c>
    </row>
    <row r="7" spans="1:8" x14ac:dyDescent="0.25">
      <c r="A7">
        <v>6</v>
      </c>
      <c r="B7" s="3">
        <v>40184</v>
      </c>
      <c r="C7" t="s">
        <v>10</v>
      </c>
      <c r="D7" t="s">
        <v>15</v>
      </c>
      <c r="E7" t="s">
        <v>9</v>
      </c>
      <c r="F7">
        <v>11</v>
      </c>
      <c r="G7">
        <v>4640</v>
      </c>
      <c r="H7">
        <f t="shared" si="0"/>
        <v>51040</v>
      </c>
    </row>
    <row r="8" spans="1:8" x14ac:dyDescent="0.25">
      <c r="A8">
        <v>7</v>
      </c>
      <c r="B8" s="3">
        <v>40185</v>
      </c>
      <c r="C8" t="s">
        <v>8</v>
      </c>
      <c r="D8" t="s">
        <v>16</v>
      </c>
      <c r="E8" t="s">
        <v>9</v>
      </c>
      <c r="F8">
        <v>16</v>
      </c>
      <c r="G8">
        <v>4610</v>
      </c>
      <c r="H8">
        <f t="shared" si="0"/>
        <v>73760</v>
      </c>
    </row>
    <row r="9" spans="1:8" x14ac:dyDescent="0.25">
      <c r="A9">
        <v>8</v>
      </c>
      <c r="B9" s="3">
        <v>40186</v>
      </c>
      <c r="C9" t="s">
        <v>12</v>
      </c>
      <c r="D9" t="s">
        <v>17</v>
      </c>
      <c r="E9" t="s">
        <v>9</v>
      </c>
      <c r="F9">
        <v>18</v>
      </c>
      <c r="G9">
        <v>2221</v>
      </c>
      <c r="H9">
        <f t="shared" si="0"/>
        <v>39978</v>
      </c>
    </row>
    <row r="10" spans="1:8" x14ac:dyDescent="0.25">
      <c r="A10">
        <v>9</v>
      </c>
      <c r="B10" s="3">
        <v>40187</v>
      </c>
      <c r="C10" t="s">
        <v>11</v>
      </c>
      <c r="D10" t="s">
        <v>18</v>
      </c>
      <c r="E10" t="s">
        <v>9</v>
      </c>
      <c r="F10">
        <v>14</v>
      </c>
      <c r="G10">
        <v>3949</v>
      </c>
      <c r="H10">
        <f t="shared" si="0"/>
        <v>55286</v>
      </c>
    </row>
    <row r="11" spans="1:8" x14ac:dyDescent="0.25">
      <c r="A11">
        <v>10</v>
      </c>
      <c r="B11" s="3">
        <v>40188</v>
      </c>
      <c r="C11" t="s">
        <v>14</v>
      </c>
      <c r="D11" t="s">
        <v>19</v>
      </c>
      <c r="E11" t="s">
        <v>9</v>
      </c>
      <c r="F11">
        <v>14</v>
      </c>
      <c r="G11">
        <v>2943</v>
      </c>
      <c r="H11">
        <f t="shared" si="0"/>
        <v>41202</v>
      </c>
    </row>
    <row r="12" spans="1:8" x14ac:dyDescent="0.25">
      <c r="A12">
        <v>11</v>
      </c>
      <c r="B12" s="3">
        <v>40184</v>
      </c>
      <c r="C12" t="s">
        <v>10</v>
      </c>
      <c r="D12" t="s">
        <v>15</v>
      </c>
      <c r="E12" t="s">
        <v>9</v>
      </c>
      <c r="F12">
        <v>11</v>
      </c>
      <c r="G12">
        <v>4640</v>
      </c>
      <c r="H12">
        <f t="shared" ref="H12:H21" si="1">F12*G12</f>
        <v>51040</v>
      </c>
    </row>
    <row r="13" spans="1:8" x14ac:dyDescent="0.25">
      <c r="A13">
        <v>12</v>
      </c>
      <c r="B13" s="3">
        <v>40185</v>
      </c>
      <c r="C13" t="s">
        <v>8</v>
      </c>
      <c r="D13" t="s">
        <v>16</v>
      </c>
      <c r="E13" t="s">
        <v>9</v>
      </c>
      <c r="F13">
        <v>16</v>
      </c>
      <c r="G13">
        <v>4610</v>
      </c>
      <c r="H13">
        <f t="shared" si="1"/>
        <v>73760</v>
      </c>
    </row>
    <row r="14" spans="1:8" x14ac:dyDescent="0.25">
      <c r="A14">
        <v>13</v>
      </c>
      <c r="B14" s="3">
        <v>40186</v>
      </c>
      <c r="C14" t="s">
        <v>12</v>
      </c>
      <c r="D14" t="s">
        <v>17</v>
      </c>
      <c r="E14" t="s">
        <v>9</v>
      </c>
      <c r="F14">
        <v>18</v>
      </c>
      <c r="G14">
        <v>2221</v>
      </c>
      <c r="H14">
        <f t="shared" si="1"/>
        <v>39978</v>
      </c>
    </row>
    <row r="15" spans="1:8" x14ac:dyDescent="0.25">
      <c r="A15">
        <v>14</v>
      </c>
      <c r="B15" s="3">
        <v>40187</v>
      </c>
      <c r="C15" t="s">
        <v>11</v>
      </c>
      <c r="D15" t="s">
        <v>18</v>
      </c>
      <c r="E15" t="s">
        <v>9</v>
      </c>
      <c r="F15">
        <v>14</v>
      </c>
      <c r="G15">
        <v>3949</v>
      </c>
      <c r="H15">
        <f t="shared" si="1"/>
        <v>55286</v>
      </c>
    </row>
    <row r="16" spans="1:8" x14ac:dyDescent="0.25">
      <c r="A16">
        <v>15</v>
      </c>
      <c r="B16" s="3">
        <v>40188</v>
      </c>
      <c r="C16" t="s">
        <v>14</v>
      </c>
      <c r="D16" t="s">
        <v>19</v>
      </c>
      <c r="E16" t="s">
        <v>9</v>
      </c>
      <c r="F16">
        <v>14</v>
      </c>
      <c r="G16">
        <v>2943</v>
      </c>
      <c r="H16">
        <f t="shared" si="1"/>
        <v>41202</v>
      </c>
    </row>
    <row r="17" spans="1:8" x14ac:dyDescent="0.25">
      <c r="A17">
        <v>16</v>
      </c>
      <c r="B17" s="3">
        <v>40179</v>
      </c>
      <c r="C17" t="s">
        <v>10</v>
      </c>
      <c r="D17" t="s">
        <v>15</v>
      </c>
      <c r="E17" t="s">
        <v>9</v>
      </c>
      <c r="F17" s="14">
        <v>20</v>
      </c>
      <c r="G17" s="14">
        <v>2843</v>
      </c>
      <c r="H17" s="14">
        <f t="shared" si="1"/>
        <v>56860</v>
      </c>
    </row>
    <row r="18" spans="1:8" x14ac:dyDescent="0.25">
      <c r="A18">
        <v>17</v>
      </c>
      <c r="B18" s="3">
        <v>40180</v>
      </c>
      <c r="C18" t="s">
        <v>8</v>
      </c>
      <c r="D18" t="s">
        <v>16</v>
      </c>
      <c r="E18" t="s">
        <v>9</v>
      </c>
      <c r="F18" s="14">
        <v>22</v>
      </c>
      <c r="G18" s="14">
        <v>3119</v>
      </c>
      <c r="H18" s="14">
        <f t="shared" si="1"/>
        <v>68618</v>
      </c>
    </row>
    <row r="19" spans="1:8" x14ac:dyDescent="0.25">
      <c r="A19">
        <v>18</v>
      </c>
      <c r="B19" s="3">
        <v>40181</v>
      </c>
      <c r="C19" t="s">
        <v>12</v>
      </c>
      <c r="D19" t="s">
        <v>17</v>
      </c>
      <c r="E19" t="s">
        <v>9</v>
      </c>
      <c r="F19" s="14">
        <v>24</v>
      </c>
      <c r="G19" s="14">
        <v>2500</v>
      </c>
      <c r="H19" s="14">
        <f t="shared" si="1"/>
        <v>60000</v>
      </c>
    </row>
    <row r="20" spans="1:8" x14ac:dyDescent="0.25">
      <c r="A20">
        <v>19</v>
      </c>
      <c r="B20" s="3">
        <v>40182</v>
      </c>
      <c r="C20" t="s">
        <v>11</v>
      </c>
      <c r="D20" t="s">
        <v>18</v>
      </c>
      <c r="E20" t="s">
        <v>9</v>
      </c>
      <c r="F20" s="14">
        <v>26</v>
      </c>
      <c r="G20" s="14">
        <v>4437</v>
      </c>
      <c r="H20" s="14">
        <f t="shared" si="1"/>
        <v>115362</v>
      </c>
    </row>
    <row r="21" spans="1:8" x14ac:dyDescent="0.25">
      <c r="A21">
        <v>20</v>
      </c>
      <c r="B21" s="3">
        <v>40183</v>
      </c>
      <c r="C21" t="s">
        <v>14</v>
      </c>
      <c r="D21" t="s">
        <v>19</v>
      </c>
      <c r="E21" t="s">
        <v>9</v>
      </c>
      <c r="F21" s="14">
        <v>28</v>
      </c>
      <c r="G21" s="14">
        <v>2999</v>
      </c>
      <c r="H21" s="14">
        <f t="shared" si="1"/>
        <v>83972</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21"/>
  <sheetViews>
    <sheetView workbookViewId="0">
      <selection activeCell="A2" sqref="A2:H21"/>
    </sheetView>
  </sheetViews>
  <sheetFormatPr defaultRowHeight="15" x14ac:dyDescent="0.25"/>
  <cols>
    <col min="1" max="1" width="9.140625" style="1"/>
    <col min="2" max="2" width="12.140625" style="1" customWidth="1"/>
    <col min="3" max="3" width="14" customWidth="1"/>
    <col min="4" max="4" width="18.85546875" customWidth="1"/>
    <col min="5" max="7" width="9.140625" style="1"/>
    <col min="8" max="8" width="12.5703125" style="1" customWidth="1"/>
  </cols>
  <sheetData>
    <row r="1" spans="1:8" x14ac:dyDescent="0.25">
      <c r="A1" t="s">
        <v>7</v>
      </c>
      <c r="B1" t="s">
        <v>0</v>
      </c>
      <c r="C1" t="s">
        <v>1</v>
      </c>
      <c r="D1" t="s">
        <v>2</v>
      </c>
      <c r="E1" t="s">
        <v>3</v>
      </c>
      <c r="F1" t="s">
        <v>4</v>
      </c>
      <c r="G1" t="s">
        <v>5</v>
      </c>
      <c r="H1" t="s">
        <v>6</v>
      </c>
    </row>
    <row r="2" spans="1:8" x14ac:dyDescent="0.25">
      <c r="A2">
        <v>1</v>
      </c>
      <c r="B2" s="3">
        <v>40179</v>
      </c>
      <c r="C2" t="s">
        <v>8</v>
      </c>
      <c r="D2" t="s">
        <v>15</v>
      </c>
      <c r="E2" t="s">
        <v>20</v>
      </c>
      <c r="F2">
        <v>16</v>
      </c>
      <c r="G2">
        <v>2856</v>
      </c>
      <c r="H2">
        <f>F2*G2</f>
        <v>45696</v>
      </c>
    </row>
    <row r="3" spans="1:8" x14ac:dyDescent="0.25">
      <c r="A3">
        <v>2</v>
      </c>
      <c r="B3" s="3">
        <v>40180</v>
      </c>
      <c r="C3" t="s">
        <v>10</v>
      </c>
      <c r="D3" t="s">
        <v>16</v>
      </c>
      <c r="E3" t="s">
        <v>20</v>
      </c>
      <c r="F3">
        <v>13</v>
      </c>
      <c r="G3">
        <v>2722</v>
      </c>
      <c r="H3">
        <f t="shared" ref="H3:H11" si="0">F3*G3</f>
        <v>35386</v>
      </c>
    </row>
    <row r="4" spans="1:8" x14ac:dyDescent="0.25">
      <c r="A4">
        <v>3</v>
      </c>
      <c r="B4" s="3">
        <v>40181</v>
      </c>
      <c r="C4" t="s">
        <v>11</v>
      </c>
      <c r="D4" t="s">
        <v>17</v>
      </c>
      <c r="E4" t="s">
        <v>20</v>
      </c>
      <c r="F4">
        <v>18</v>
      </c>
      <c r="G4">
        <v>2900</v>
      </c>
      <c r="H4">
        <f t="shared" si="0"/>
        <v>52200</v>
      </c>
    </row>
    <row r="5" spans="1:8" x14ac:dyDescent="0.25">
      <c r="A5">
        <v>4</v>
      </c>
      <c r="B5" s="3">
        <v>40182</v>
      </c>
      <c r="C5" t="s">
        <v>12</v>
      </c>
      <c r="D5" t="s">
        <v>18</v>
      </c>
      <c r="E5" t="s">
        <v>20</v>
      </c>
      <c r="F5">
        <v>13</v>
      </c>
      <c r="G5">
        <v>2236</v>
      </c>
      <c r="H5">
        <f t="shared" si="0"/>
        <v>29068</v>
      </c>
    </row>
    <row r="6" spans="1:8" x14ac:dyDescent="0.25">
      <c r="A6">
        <v>5</v>
      </c>
      <c r="B6" s="3">
        <v>40183</v>
      </c>
      <c r="C6" t="s">
        <v>13</v>
      </c>
      <c r="D6" t="s">
        <v>19</v>
      </c>
      <c r="E6" t="s">
        <v>20</v>
      </c>
      <c r="F6">
        <v>10</v>
      </c>
      <c r="G6">
        <v>4569</v>
      </c>
      <c r="H6">
        <f t="shared" si="0"/>
        <v>45690</v>
      </c>
    </row>
    <row r="7" spans="1:8" x14ac:dyDescent="0.25">
      <c r="A7">
        <v>6</v>
      </c>
      <c r="B7" s="3">
        <v>40184</v>
      </c>
      <c r="C7" t="s">
        <v>8</v>
      </c>
      <c r="D7" t="s">
        <v>15</v>
      </c>
      <c r="E7" t="s">
        <v>20</v>
      </c>
      <c r="F7">
        <v>11</v>
      </c>
      <c r="G7">
        <v>3782</v>
      </c>
      <c r="H7">
        <f t="shared" si="0"/>
        <v>41602</v>
      </c>
    </row>
    <row r="8" spans="1:8" x14ac:dyDescent="0.25">
      <c r="A8">
        <v>7</v>
      </c>
      <c r="B8" s="3">
        <v>40185</v>
      </c>
      <c r="C8" t="s">
        <v>10</v>
      </c>
      <c r="D8" t="s">
        <v>16</v>
      </c>
      <c r="E8" t="s">
        <v>20</v>
      </c>
      <c r="F8">
        <v>15</v>
      </c>
      <c r="G8">
        <v>2823</v>
      </c>
      <c r="H8">
        <f t="shared" si="0"/>
        <v>42345</v>
      </c>
    </row>
    <row r="9" spans="1:8" x14ac:dyDescent="0.25">
      <c r="A9">
        <v>8</v>
      </c>
      <c r="B9" s="3">
        <v>40186</v>
      </c>
      <c r="C9" t="s">
        <v>11</v>
      </c>
      <c r="D9" t="s">
        <v>17</v>
      </c>
      <c r="E9" t="s">
        <v>20</v>
      </c>
      <c r="F9">
        <v>12</v>
      </c>
      <c r="G9">
        <v>4729</v>
      </c>
      <c r="H9">
        <f t="shared" si="0"/>
        <v>56748</v>
      </c>
    </row>
    <row r="10" spans="1:8" x14ac:dyDescent="0.25">
      <c r="A10">
        <v>9</v>
      </c>
      <c r="B10" s="3">
        <v>40187</v>
      </c>
      <c r="C10" t="s">
        <v>12</v>
      </c>
      <c r="D10" t="s">
        <v>18</v>
      </c>
      <c r="E10" t="s">
        <v>20</v>
      </c>
      <c r="F10">
        <v>12</v>
      </c>
      <c r="G10">
        <v>4007</v>
      </c>
      <c r="H10">
        <f t="shared" si="0"/>
        <v>48084</v>
      </c>
    </row>
    <row r="11" spans="1:8" x14ac:dyDescent="0.25">
      <c r="A11">
        <v>10</v>
      </c>
      <c r="B11" s="3">
        <v>40188</v>
      </c>
      <c r="C11" t="s">
        <v>13</v>
      </c>
      <c r="D11" t="s">
        <v>19</v>
      </c>
      <c r="E11" t="s">
        <v>20</v>
      </c>
      <c r="F11">
        <v>10</v>
      </c>
      <c r="G11">
        <v>3459</v>
      </c>
      <c r="H11">
        <f t="shared" si="0"/>
        <v>34590</v>
      </c>
    </row>
    <row r="12" spans="1:8" x14ac:dyDescent="0.25">
      <c r="A12">
        <v>11</v>
      </c>
      <c r="B12" s="3">
        <v>40184</v>
      </c>
      <c r="C12" t="s">
        <v>8</v>
      </c>
      <c r="D12" t="s">
        <v>15</v>
      </c>
      <c r="E12" t="s">
        <v>20</v>
      </c>
      <c r="F12">
        <v>11</v>
      </c>
      <c r="G12">
        <v>3782</v>
      </c>
      <c r="H12">
        <f t="shared" ref="H12:H21" si="1">F12*G12</f>
        <v>41602</v>
      </c>
    </row>
    <row r="13" spans="1:8" x14ac:dyDescent="0.25">
      <c r="A13">
        <v>12</v>
      </c>
      <c r="B13" s="3">
        <v>40185</v>
      </c>
      <c r="C13" t="s">
        <v>10</v>
      </c>
      <c r="D13" t="s">
        <v>16</v>
      </c>
      <c r="E13" t="s">
        <v>20</v>
      </c>
      <c r="F13">
        <v>15</v>
      </c>
      <c r="G13">
        <v>2823</v>
      </c>
      <c r="H13">
        <f t="shared" si="1"/>
        <v>42345</v>
      </c>
    </row>
    <row r="14" spans="1:8" x14ac:dyDescent="0.25">
      <c r="A14">
        <v>13</v>
      </c>
      <c r="B14" s="3">
        <v>40186</v>
      </c>
      <c r="C14" t="s">
        <v>11</v>
      </c>
      <c r="D14" t="s">
        <v>17</v>
      </c>
      <c r="E14" t="s">
        <v>20</v>
      </c>
      <c r="F14">
        <v>12</v>
      </c>
      <c r="G14">
        <v>4729</v>
      </c>
      <c r="H14">
        <f t="shared" si="1"/>
        <v>56748</v>
      </c>
    </row>
    <row r="15" spans="1:8" x14ac:dyDescent="0.25">
      <c r="A15">
        <v>14</v>
      </c>
      <c r="B15" s="3">
        <v>40187</v>
      </c>
      <c r="C15" t="s">
        <v>12</v>
      </c>
      <c r="D15" t="s">
        <v>18</v>
      </c>
      <c r="E15" t="s">
        <v>20</v>
      </c>
      <c r="F15">
        <v>12</v>
      </c>
      <c r="G15">
        <v>4007</v>
      </c>
      <c r="H15">
        <f t="shared" si="1"/>
        <v>48084</v>
      </c>
    </row>
    <row r="16" spans="1:8" x14ac:dyDescent="0.25">
      <c r="A16">
        <v>15</v>
      </c>
      <c r="B16" s="3">
        <v>40188</v>
      </c>
      <c r="C16" t="s">
        <v>13</v>
      </c>
      <c r="D16" t="s">
        <v>19</v>
      </c>
      <c r="E16" t="s">
        <v>20</v>
      </c>
      <c r="F16">
        <v>10</v>
      </c>
      <c r="G16">
        <v>3459</v>
      </c>
      <c r="H16">
        <f t="shared" si="1"/>
        <v>34590</v>
      </c>
    </row>
    <row r="17" spans="1:8" x14ac:dyDescent="0.25">
      <c r="A17">
        <v>16</v>
      </c>
      <c r="B17" s="3">
        <v>40179</v>
      </c>
      <c r="C17" t="s">
        <v>8</v>
      </c>
      <c r="D17" t="s">
        <v>15</v>
      </c>
      <c r="E17" t="s">
        <v>20</v>
      </c>
      <c r="F17" s="14">
        <v>17</v>
      </c>
      <c r="G17" s="14">
        <v>2467</v>
      </c>
      <c r="H17" s="14">
        <f t="shared" si="1"/>
        <v>41939</v>
      </c>
    </row>
    <row r="18" spans="1:8" x14ac:dyDescent="0.25">
      <c r="A18">
        <v>17</v>
      </c>
      <c r="B18" s="3">
        <v>40180</v>
      </c>
      <c r="C18" t="s">
        <v>10</v>
      </c>
      <c r="D18" t="s">
        <v>16</v>
      </c>
      <c r="E18" t="s">
        <v>20</v>
      </c>
      <c r="F18" s="14">
        <v>14</v>
      </c>
      <c r="G18" s="14">
        <v>3126</v>
      </c>
      <c r="H18" s="14">
        <f t="shared" si="1"/>
        <v>43764</v>
      </c>
    </row>
    <row r="19" spans="1:8" x14ac:dyDescent="0.25">
      <c r="A19">
        <v>18</v>
      </c>
      <c r="B19" s="3">
        <v>40181</v>
      </c>
      <c r="C19" t="s">
        <v>11</v>
      </c>
      <c r="D19" t="s">
        <v>17</v>
      </c>
      <c r="E19" t="s">
        <v>20</v>
      </c>
      <c r="F19" s="14">
        <v>19</v>
      </c>
      <c r="G19" s="14">
        <v>2765</v>
      </c>
      <c r="H19" s="14">
        <f t="shared" si="1"/>
        <v>52535</v>
      </c>
    </row>
    <row r="20" spans="1:8" x14ac:dyDescent="0.25">
      <c r="A20">
        <v>19</v>
      </c>
      <c r="B20" s="3">
        <v>40182</v>
      </c>
      <c r="C20" t="s">
        <v>12</v>
      </c>
      <c r="D20" t="s">
        <v>18</v>
      </c>
      <c r="E20" t="s">
        <v>20</v>
      </c>
      <c r="F20" s="14">
        <v>11</v>
      </c>
      <c r="G20" s="14">
        <v>2250</v>
      </c>
      <c r="H20" s="14">
        <f t="shared" si="1"/>
        <v>24750</v>
      </c>
    </row>
    <row r="21" spans="1:8" x14ac:dyDescent="0.25">
      <c r="A21">
        <v>20</v>
      </c>
      <c r="B21" s="3">
        <v>40183</v>
      </c>
      <c r="C21" t="s">
        <v>13</v>
      </c>
      <c r="D21" t="s">
        <v>19</v>
      </c>
      <c r="E21" t="s">
        <v>20</v>
      </c>
      <c r="F21" s="14">
        <v>15</v>
      </c>
      <c r="G21" s="14">
        <v>4597</v>
      </c>
      <c r="H21" s="14">
        <f t="shared" si="1"/>
        <v>68955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H21"/>
  <sheetViews>
    <sheetView workbookViewId="0">
      <selection activeCell="A2" sqref="A2:H21"/>
    </sheetView>
  </sheetViews>
  <sheetFormatPr defaultRowHeight="15" x14ac:dyDescent="0.25"/>
  <cols>
    <col min="1" max="1" width="9.140625" style="1"/>
    <col min="2" max="2" width="11.85546875" style="1" customWidth="1"/>
    <col min="3" max="3" width="14" customWidth="1"/>
    <col min="4" max="4" width="18.85546875" customWidth="1"/>
    <col min="5" max="7" width="9.140625" style="1"/>
    <col min="8" max="8" width="12.5703125" style="1" customWidth="1"/>
  </cols>
  <sheetData>
    <row r="1" spans="1:8" x14ac:dyDescent="0.25">
      <c r="A1" t="s">
        <v>7</v>
      </c>
      <c r="B1" t="s">
        <v>0</v>
      </c>
      <c r="C1" t="s">
        <v>1</v>
      </c>
      <c r="D1" t="s">
        <v>2</v>
      </c>
      <c r="E1" t="s">
        <v>3</v>
      </c>
      <c r="F1" t="s">
        <v>4</v>
      </c>
      <c r="G1" t="s">
        <v>5</v>
      </c>
      <c r="H1" t="s">
        <v>6</v>
      </c>
    </row>
    <row r="2" spans="1:8" x14ac:dyDescent="0.25">
      <c r="A2">
        <v>1</v>
      </c>
      <c r="B2" s="3">
        <v>40179</v>
      </c>
      <c r="C2" t="s">
        <v>11</v>
      </c>
      <c r="D2" t="s">
        <v>15</v>
      </c>
      <c r="E2" t="s">
        <v>21</v>
      </c>
      <c r="F2">
        <v>10</v>
      </c>
      <c r="G2">
        <v>4057</v>
      </c>
      <c r="H2">
        <f>F2*G2</f>
        <v>40570</v>
      </c>
    </row>
    <row r="3" spans="1:8" x14ac:dyDescent="0.25">
      <c r="A3">
        <v>2</v>
      </c>
      <c r="B3" s="3">
        <v>40180</v>
      </c>
      <c r="C3" t="s">
        <v>14</v>
      </c>
      <c r="D3" t="s">
        <v>16</v>
      </c>
      <c r="E3" t="s">
        <v>21</v>
      </c>
      <c r="F3">
        <v>18</v>
      </c>
      <c r="G3">
        <v>3809</v>
      </c>
      <c r="H3">
        <f t="shared" ref="H3:H11" si="0">F3*G3</f>
        <v>68562</v>
      </c>
    </row>
    <row r="4" spans="1:8" x14ac:dyDescent="0.25">
      <c r="A4">
        <v>3</v>
      </c>
      <c r="B4" s="3">
        <v>40181</v>
      </c>
      <c r="C4" t="s">
        <v>10</v>
      </c>
      <c r="D4" t="s">
        <v>17</v>
      </c>
      <c r="E4" t="s">
        <v>21</v>
      </c>
      <c r="F4">
        <v>16</v>
      </c>
      <c r="G4">
        <v>3987</v>
      </c>
      <c r="H4">
        <f t="shared" si="0"/>
        <v>63792</v>
      </c>
    </row>
    <row r="5" spans="1:8" x14ac:dyDescent="0.25">
      <c r="A5">
        <v>4</v>
      </c>
      <c r="B5" s="3">
        <v>40182</v>
      </c>
      <c r="C5" t="s">
        <v>8</v>
      </c>
      <c r="D5" t="s">
        <v>18</v>
      </c>
      <c r="E5" t="s">
        <v>21</v>
      </c>
      <c r="F5">
        <v>10</v>
      </c>
      <c r="G5">
        <v>2346</v>
      </c>
      <c r="H5">
        <f t="shared" si="0"/>
        <v>23460</v>
      </c>
    </row>
    <row r="6" spans="1:8" x14ac:dyDescent="0.25">
      <c r="A6">
        <v>5</v>
      </c>
      <c r="B6" s="3">
        <v>40183</v>
      </c>
      <c r="C6" t="s">
        <v>8</v>
      </c>
      <c r="D6" t="s">
        <v>19</v>
      </c>
      <c r="E6" t="s">
        <v>21</v>
      </c>
      <c r="F6">
        <v>8</v>
      </c>
      <c r="G6">
        <v>4953</v>
      </c>
      <c r="H6">
        <f t="shared" si="0"/>
        <v>39624</v>
      </c>
    </row>
    <row r="7" spans="1:8" x14ac:dyDescent="0.25">
      <c r="A7">
        <v>6</v>
      </c>
      <c r="B7" s="3">
        <v>40184</v>
      </c>
      <c r="C7" t="s">
        <v>11</v>
      </c>
      <c r="D7" t="s">
        <v>15</v>
      </c>
      <c r="E7" t="s">
        <v>21</v>
      </c>
      <c r="F7">
        <v>18</v>
      </c>
      <c r="G7">
        <v>4088</v>
      </c>
      <c r="H7">
        <f t="shared" si="0"/>
        <v>73584</v>
      </c>
    </row>
    <row r="8" spans="1:8" x14ac:dyDescent="0.25">
      <c r="A8">
        <v>7</v>
      </c>
      <c r="B8" s="3">
        <v>40185</v>
      </c>
      <c r="C8" t="s">
        <v>14</v>
      </c>
      <c r="D8" t="s">
        <v>16</v>
      </c>
      <c r="E8" t="s">
        <v>21</v>
      </c>
      <c r="F8">
        <v>15</v>
      </c>
      <c r="G8">
        <v>2531</v>
      </c>
      <c r="H8">
        <f t="shared" si="0"/>
        <v>37965</v>
      </c>
    </row>
    <row r="9" spans="1:8" x14ac:dyDescent="0.25">
      <c r="A9">
        <v>8</v>
      </c>
      <c r="B9" s="3">
        <v>40186</v>
      </c>
      <c r="C9" t="s">
        <v>10</v>
      </c>
      <c r="D9" t="s">
        <v>17</v>
      </c>
      <c r="E9" t="s">
        <v>21</v>
      </c>
      <c r="F9">
        <v>13</v>
      </c>
      <c r="G9">
        <v>4716</v>
      </c>
      <c r="H9">
        <f t="shared" si="0"/>
        <v>61308</v>
      </c>
    </row>
    <row r="10" spans="1:8" x14ac:dyDescent="0.25">
      <c r="A10">
        <v>9</v>
      </c>
      <c r="B10" s="3">
        <v>40187</v>
      </c>
      <c r="C10" t="s">
        <v>8</v>
      </c>
      <c r="D10" t="s">
        <v>18</v>
      </c>
      <c r="E10" t="s">
        <v>21</v>
      </c>
      <c r="F10">
        <v>11</v>
      </c>
      <c r="G10">
        <v>2806</v>
      </c>
      <c r="H10">
        <f t="shared" si="0"/>
        <v>30866</v>
      </c>
    </row>
    <row r="11" spans="1:8" x14ac:dyDescent="0.25">
      <c r="A11">
        <v>10</v>
      </c>
      <c r="B11" s="3">
        <v>40188</v>
      </c>
      <c r="C11" t="s">
        <v>8</v>
      </c>
      <c r="D11" t="s">
        <v>19</v>
      </c>
      <c r="E11" t="s">
        <v>21</v>
      </c>
      <c r="F11">
        <v>5</v>
      </c>
      <c r="G11">
        <v>3350</v>
      </c>
      <c r="H11">
        <f t="shared" si="0"/>
        <v>16750</v>
      </c>
    </row>
    <row r="12" spans="1:8" x14ac:dyDescent="0.25">
      <c r="A12">
        <v>11</v>
      </c>
      <c r="B12" s="3">
        <v>40184</v>
      </c>
      <c r="C12" t="s">
        <v>11</v>
      </c>
      <c r="D12" t="s">
        <v>15</v>
      </c>
      <c r="E12" t="s">
        <v>21</v>
      </c>
      <c r="F12">
        <v>18</v>
      </c>
      <c r="G12">
        <v>4088</v>
      </c>
      <c r="H12">
        <f t="shared" ref="H12:H21" si="1">F12*G12</f>
        <v>73584</v>
      </c>
    </row>
    <row r="13" spans="1:8" x14ac:dyDescent="0.25">
      <c r="A13">
        <v>12</v>
      </c>
      <c r="B13" s="3">
        <v>40185</v>
      </c>
      <c r="C13" t="s">
        <v>14</v>
      </c>
      <c r="D13" t="s">
        <v>16</v>
      </c>
      <c r="E13" t="s">
        <v>21</v>
      </c>
      <c r="F13">
        <v>15</v>
      </c>
      <c r="G13">
        <v>2531</v>
      </c>
      <c r="H13">
        <f t="shared" si="1"/>
        <v>37965</v>
      </c>
    </row>
    <row r="14" spans="1:8" x14ac:dyDescent="0.25">
      <c r="A14">
        <v>13</v>
      </c>
      <c r="B14" s="3">
        <v>40186</v>
      </c>
      <c r="C14" t="s">
        <v>10</v>
      </c>
      <c r="D14" t="s">
        <v>17</v>
      </c>
      <c r="E14" t="s">
        <v>21</v>
      </c>
      <c r="F14">
        <v>13</v>
      </c>
      <c r="G14">
        <v>4716</v>
      </c>
      <c r="H14">
        <f t="shared" si="1"/>
        <v>61308</v>
      </c>
    </row>
    <row r="15" spans="1:8" x14ac:dyDescent="0.25">
      <c r="A15">
        <v>14</v>
      </c>
      <c r="B15" s="3">
        <v>40187</v>
      </c>
      <c r="C15" t="s">
        <v>8</v>
      </c>
      <c r="D15" t="s">
        <v>18</v>
      </c>
      <c r="E15" t="s">
        <v>21</v>
      </c>
      <c r="F15">
        <v>11</v>
      </c>
      <c r="G15">
        <v>2806</v>
      </c>
      <c r="H15">
        <f t="shared" si="1"/>
        <v>30866</v>
      </c>
    </row>
    <row r="16" spans="1:8" x14ac:dyDescent="0.25">
      <c r="A16">
        <v>15</v>
      </c>
      <c r="B16" s="3">
        <v>40188</v>
      </c>
      <c r="C16" t="s">
        <v>8</v>
      </c>
      <c r="D16" t="s">
        <v>19</v>
      </c>
      <c r="E16" t="s">
        <v>21</v>
      </c>
      <c r="F16">
        <v>5</v>
      </c>
      <c r="G16">
        <v>3350</v>
      </c>
      <c r="H16">
        <f t="shared" si="1"/>
        <v>16750</v>
      </c>
    </row>
    <row r="17" spans="1:8" x14ac:dyDescent="0.25">
      <c r="A17">
        <v>16</v>
      </c>
      <c r="B17" s="3">
        <v>40179</v>
      </c>
      <c r="C17" t="s">
        <v>11</v>
      </c>
      <c r="D17" t="s">
        <v>15</v>
      </c>
      <c r="E17" t="s">
        <v>21</v>
      </c>
      <c r="F17" s="14">
        <v>11</v>
      </c>
      <c r="G17" s="14">
        <v>2300</v>
      </c>
      <c r="H17" s="14">
        <f t="shared" si="1"/>
        <v>25300</v>
      </c>
    </row>
    <row r="18" spans="1:8" x14ac:dyDescent="0.25">
      <c r="A18">
        <v>17</v>
      </c>
      <c r="B18" s="3">
        <v>40180</v>
      </c>
      <c r="C18" t="s">
        <v>14</v>
      </c>
      <c r="D18" t="s">
        <v>16</v>
      </c>
      <c r="E18" t="s">
        <v>21</v>
      </c>
      <c r="F18" s="14">
        <v>12</v>
      </c>
      <c r="G18" s="14">
        <v>3200</v>
      </c>
      <c r="H18" s="14">
        <f t="shared" si="1"/>
        <v>38400</v>
      </c>
    </row>
    <row r="19" spans="1:8" x14ac:dyDescent="0.25">
      <c r="A19">
        <v>18</v>
      </c>
      <c r="B19" s="3">
        <v>40181</v>
      </c>
      <c r="C19" t="s">
        <v>10</v>
      </c>
      <c r="D19" t="s">
        <v>17</v>
      </c>
      <c r="E19" t="s">
        <v>21</v>
      </c>
      <c r="F19" s="14">
        <v>13</v>
      </c>
      <c r="G19" s="14">
        <v>4100</v>
      </c>
      <c r="H19" s="14">
        <f t="shared" si="1"/>
        <v>53300</v>
      </c>
    </row>
    <row r="20" spans="1:8" x14ac:dyDescent="0.25">
      <c r="A20">
        <v>19</v>
      </c>
      <c r="B20" s="3">
        <v>40182</v>
      </c>
      <c r="C20" t="s">
        <v>8</v>
      </c>
      <c r="D20" t="s">
        <v>18</v>
      </c>
      <c r="E20" t="s">
        <v>21</v>
      </c>
      <c r="F20" s="14">
        <v>14</v>
      </c>
      <c r="G20" s="14">
        <v>3500</v>
      </c>
      <c r="H20" s="14">
        <f t="shared" si="1"/>
        <v>49000</v>
      </c>
    </row>
    <row r="21" spans="1:8" x14ac:dyDescent="0.25">
      <c r="A21">
        <v>20</v>
      </c>
      <c r="B21" s="3">
        <v>40183</v>
      </c>
      <c r="C21" t="s">
        <v>8</v>
      </c>
      <c r="D21" t="s">
        <v>19</v>
      </c>
      <c r="E21" t="s">
        <v>21</v>
      </c>
      <c r="F21" s="14">
        <v>15</v>
      </c>
      <c r="G21" s="14">
        <v>4800</v>
      </c>
      <c r="H21" s="14">
        <f t="shared" si="1"/>
        <v>72000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H22"/>
  <sheetViews>
    <sheetView workbookViewId="0">
      <selection activeCell="A2" sqref="A2:H22"/>
    </sheetView>
  </sheetViews>
  <sheetFormatPr defaultRowHeight="15" x14ac:dyDescent="0.25"/>
  <cols>
    <col min="1" max="1" width="9.140625" style="1"/>
    <col min="2" max="2" width="11.5703125" style="1" customWidth="1"/>
    <col min="3" max="3" width="14" customWidth="1"/>
    <col min="4" max="4" width="18.85546875" customWidth="1"/>
    <col min="5" max="7" width="9.140625" style="1"/>
    <col min="8" max="8" width="12.5703125" style="1" customWidth="1"/>
  </cols>
  <sheetData>
    <row r="1" spans="1:8" x14ac:dyDescent="0.25">
      <c r="A1" s="2" t="s">
        <v>7</v>
      </c>
      <c r="B1" s="2" t="s">
        <v>0</v>
      </c>
      <c r="C1" s="2" t="s">
        <v>1</v>
      </c>
      <c r="D1" s="2" t="s">
        <v>2</v>
      </c>
      <c r="E1" s="2" t="s">
        <v>3</v>
      </c>
      <c r="F1" s="2" t="s">
        <v>4</v>
      </c>
      <c r="G1" s="2" t="s">
        <v>5</v>
      </c>
      <c r="H1" s="2" t="s">
        <v>6</v>
      </c>
    </row>
    <row r="2" spans="1:8" x14ac:dyDescent="0.25">
      <c r="A2">
        <v>1</v>
      </c>
      <c r="B2" s="3">
        <v>40179</v>
      </c>
      <c r="C2" t="s">
        <v>13</v>
      </c>
      <c r="D2" t="s">
        <v>15</v>
      </c>
      <c r="E2" t="s">
        <v>22</v>
      </c>
      <c r="F2">
        <v>5</v>
      </c>
      <c r="G2">
        <v>3270</v>
      </c>
      <c r="H2">
        <f>F2*G2</f>
        <v>16350</v>
      </c>
    </row>
    <row r="3" spans="1:8" x14ac:dyDescent="0.25">
      <c r="A3">
        <v>2</v>
      </c>
      <c r="B3" s="3">
        <v>40180</v>
      </c>
      <c r="C3" t="s">
        <v>12</v>
      </c>
      <c r="D3" t="s">
        <v>16</v>
      </c>
      <c r="E3" t="s">
        <v>22</v>
      </c>
      <c r="F3">
        <v>17</v>
      </c>
      <c r="G3">
        <v>4245</v>
      </c>
      <c r="H3">
        <f t="shared" ref="H3:H11" si="0">F3*G3</f>
        <v>72165</v>
      </c>
    </row>
    <row r="4" spans="1:8" x14ac:dyDescent="0.25">
      <c r="A4">
        <v>3</v>
      </c>
      <c r="B4" s="3">
        <v>40181</v>
      </c>
      <c r="C4" t="s">
        <v>13</v>
      </c>
      <c r="D4" t="s">
        <v>17</v>
      </c>
      <c r="E4" t="s">
        <v>22</v>
      </c>
      <c r="F4">
        <v>5</v>
      </c>
      <c r="G4">
        <v>4864</v>
      </c>
      <c r="H4">
        <f t="shared" si="0"/>
        <v>24320</v>
      </c>
    </row>
    <row r="5" spans="1:8" x14ac:dyDescent="0.25">
      <c r="A5">
        <v>4</v>
      </c>
      <c r="B5" s="3">
        <v>40182</v>
      </c>
      <c r="C5" t="s">
        <v>13</v>
      </c>
      <c r="D5" t="s">
        <v>18</v>
      </c>
      <c r="E5" t="s">
        <v>22</v>
      </c>
      <c r="F5">
        <v>6</v>
      </c>
      <c r="G5">
        <v>2381</v>
      </c>
      <c r="H5">
        <f t="shared" si="0"/>
        <v>14286</v>
      </c>
    </row>
    <row r="6" spans="1:8" x14ac:dyDescent="0.25">
      <c r="A6">
        <v>5</v>
      </c>
      <c r="B6" s="3">
        <v>40183</v>
      </c>
      <c r="C6" t="s">
        <v>11</v>
      </c>
      <c r="D6" t="s">
        <v>19</v>
      </c>
      <c r="E6" t="s">
        <v>22</v>
      </c>
      <c r="F6">
        <v>10</v>
      </c>
      <c r="G6">
        <v>3503</v>
      </c>
      <c r="H6">
        <f t="shared" si="0"/>
        <v>35030</v>
      </c>
    </row>
    <row r="7" spans="1:8" x14ac:dyDescent="0.25">
      <c r="A7">
        <v>6</v>
      </c>
      <c r="B7" s="3">
        <v>40184</v>
      </c>
      <c r="C7" t="s">
        <v>13</v>
      </c>
      <c r="D7" t="s">
        <v>15</v>
      </c>
      <c r="E7" t="s">
        <v>22</v>
      </c>
      <c r="F7">
        <v>5</v>
      </c>
      <c r="G7">
        <v>3176</v>
      </c>
      <c r="H7">
        <f t="shared" si="0"/>
        <v>15880</v>
      </c>
    </row>
    <row r="8" spans="1:8" x14ac:dyDescent="0.25">
      <c r="A8">
        <v>7</v>
      </c>
      <c r="B8" s="3">
        <v>40185</v>
      </c>
      <c r="C8" t="s">
        <v>12</v>
      </c>
      <c r="D8" t="s">
        <v>16</v>
      </c>
      <c r="E8" t="s">
        <v>22</v>
      </c>
      <c r="F8">
        <v>12</v>
      </c>
      <c r="G8">
        <v>4192</v>
      </c>
      <c r="H8">
        <f t="shared" si="0"/>
        <v>50304</v>
      </c>
    </row>
    <row r="9" spans="1:8" x14ac:dyDescent="0.25">
      <c r="A9">
        <v>8</v>
      </c>
      <c r="B9" s="3">
        <v>40186</v>
      </c>
      <c r="C9" t="s">
        <v>13</v>
      </c>
      <c r="D9" t="s">
        <v>17</v>
      </c>
      <c r="E9" t="s">
        <v>22</v>
      </c>
      <c r="F9">
        <v>2</v>
      </c>
      <c r="G9">
        <v>4793</v>
      </c>
      <c r="H9">
        <f t="shared" si="0"/>
        <v>9586</v>
      </c>
    </row>
    <row r="10" spans="1:8" x14ac:dyDescent="0.25">
      <c r="A10">
        <v>9</v>
      </c>
      <c r="B10" s="3">
        <v>40187</v>
      </c>
      <c r="C10" t="s">
        <v>13</v>
      </c>
      <c r="D10" t="s">
        <v>18</v>
      </c>
      <c r="E10" t="s">
        <v>22</v>
      </c>
      <c r="F10">
        <v>5</v>
      </c>
      <c r="G10">
        <v>2204</v>
      </c>
      <c r="H10">
        <f t="shared" si="0"/>
        <v>11020</v>
      </c>
    </row>
    <row r="11" spans="1:8" x14ac:dyDescent="0.25">
      <c r="A11">
        <v>10</v>
      </c>
      <c r="B11" s="3">
        <v>40188</v>
      </c>
      <c r="C11" t="s">
        <v>11</v>
      </c>
      <c r="D11" t="s">
        <v>19</v>
      </c>
      <c r="E11" t="s">
        <v>22</v>
      </c>
      <c r="F11">
        <v>18</v>
      </c>
      <c r="G11">
        <v>4183</v>
      </c>
      <c r="H11">
        <f t="shared" si="0"/>
        <v>75294</v>
      </c>
    </row>
    <row r="12" spans="1:8" x14ac:dyDescent="0.25">
      <c r="A12">
        <v>11</v>
      </c>
      <c r="B12" s="3">
        <v>40183</v>
      </c>
      <c r="C12" t="s">
        <v>11</v>
      </c>
      <c r="D12" t="s">
        <v>19</v>
      </c>
      <c r="E12" t="s">
        <v>22</v>
      </c>
      <c r="F12">
        <v>10</v>
      </c>
      <c r="G12">
        <v>3503</v>
      </c>
      <c r="H12">
        <f t="shared" ref="H12:H22" si="1">F12*G12</f>
        <v>35030</v>
      </c>
    </row>
    <row r="13" spans="1:8" x14ac:dyDescent="0.25">
      <c r="A13">
        <v>12</v>
      </c>
      <c r="B13" s="3">
        <v>40184</v>
      </c>
      <c r="C13" t="s">
        <v>13</v>
      </c>
      <c r="D13" t="s">
        <v>15</v>
      </c>
      <c r="E13" t="s">
        <v>22</v>
      </c>
      <c r="F13">
        <v>5</v>
      </c>
      <c r="G13">
        <v>3176</v>
      </c>
      <c r="H13">
        <f t="shared" si="1"/>
        <v>15880</v>
      </c>
    </row>
    <row r="14" spans="1:8" x14ac:dyDescent="0.25">
      <c r="A14">
        <v>13</v>
      </c>
      <c r="B14" s="3">
        <v>40185</v>
      </c>
      <c r="C14" t="s">
        <v>12</v>
      </c>
      <c r="D14" t="s">
        <v>16</v>
      </c>
      <c r="E14" t="s">
        <v>22</v>
      </c>
      <c r="F14">
        <v>12</v>
      </c>
      <c r="G14">
        <v>4192</v>
      </c>
      <c r="H14">
        <f t="shared" si="1"/>
        <v>50304</v>
      </c>
    </row>
    <row r="15" spans="1:8" x14ac:dyDescent="0.25">
      <c r="A15">
        <v>14</v>
      </c>
      <c r="B15" s="3">
        <v>40186</v>
      </c>
      <c r="C15" t="s">
        <v>13</v>
      </c>
      <c r="D15" t="s">
        <v>17</v>
      </c>
      <c r="E15" t="s">
        <v>22</v>
      </c>
      <c r="F15">
        <v>2</v>
      </c>
      <c r="G15">
        <v>4793</v>
      </c>
      <c r="H15">
        <f t="shared" si="1"/>
        <v>9586</v>
      </c>
    </row>
    <row r="16" spans="1:8" x14ac:dyDescent="0.25">
      <c r="A16">
        <v>15</v>
      </c>
      <c r="B16" s="3">
        <v>40187</v>
      </c>
      <c r="C16" t="s">
        <v>13</v>
      </c>
      <c r="D16" t="s">
        <v>18</v>
      </c>
      <c r="E16" t="s">
        <v>22</v>
      </c>
      <c r="F16">
        <v>5</v>
      </c>
      <c r="G16">
        <v>2204</v>
      </c>
      <c r="H16">
        <f t="shared" si="1"/>
        <v>11020</v>
      </c>
    </row>
    <row r="17" spans="1:8" x14ac:dyDescent="0.25">
      <c r="A17">
        <v>16</v>
      </c>
      <c r="B17" s="3">
        <v>40188</v>
      </c>
      <c r="C17" t="s">
        <v>11</v>
      </c>
      <c r="D17" t="s">
        <v>19</v>
      </c>
      <c r="E17" t="s">
        <v>22</v>
      </c>
      <c r="F17">
        <v>18</v>
      </c>
      <c r="G17">
        <v>4183</v>
      </c>
      <c r="H17">
        <f t="shared" si="1"/>
        <v>75294</v>
      </c>
    </row>
    <row r="18" spans="1:8" x14ac:dyDescent="0.25">
      <c r="A18">
        <v>17</v>
      </c>
      <c r="B18" s="3">
        <v>40179</v>
      </c>
      <c r="C18" t="s">
        <v>13</v>
      </c>
      <c r="D18" t="s">
        <v>15</v>
      </c>
      <c r="E18" t="s">
        <v>22</v>
      </c>
      <c r="F18" s="14">
        <v>10</v>
      </c>
      <c r="G18" s="14">
        <v>5000</v>
      </c>
      <c r="H18" s="14">
        <f t="shared" si="1"/>
        <v>50000</v>
      </c>
    </row>
    <row r="19" spans="1:8" x14ac:dyDescent="0.25">
      <c r="A19">
        <v>18</v>
      </c>
      <c r="B19" s="3">
        <v>40180</v>
      </c>
      <c r="C19" t="s">
        <v>12</v>
      </c>
      <c r="D19" t="s">
        <v>16</v>
      </c>
      <c r="E19" t="s">
        <v>22</v>
      </c>
      <c r="F19" s="14">
        <v>13</v>
      </c>
      <c r="G19" s="14">
        <v>4300</v>
      </c>
      <c r="H19" s="14">
        <f t="shared" si="1"/>
        <v>55900</v>
      </c>
    </row>
    <row r="20" spans="1:8" x14ac:dyDescent="0.25">
      <c r="A20">
        <v>19</v>
      </c>
      <c r="B20" s="3">
        <v>40181</v>
      </c>
      <c r="C20" t="s">
        <v>13</v>
      </c>
      <c r="D20" t="s">
        <v>17</v>
      </c>
      <c r="E20" t="s">
        <v>22</v>
      </c>
      <c r="F20" s="14">
        <v>14</v>
      </c>
      <c r="G20" s="14">
        <v>2390</v>
      </c>
      <c r="H20" s="14">
        <f t="shared" si="1"/>
        <v>33460</v>
      </c>
    </row>
    <row r="21" spans="1:8" x14ac:dyDescent="0.25">
      <c r="A21">
        <v>20</v>
      </c>
      <c r="B21" s="3">
        <v>40182</v>
      </c>
      <c r="C21" t="s">
        <v>13</v>
      </c>
      <c r="D21" t="s">
        <v>18</v>
      </c>
      <c r="E21" t="s">
        <v>22</v>
      </c>
      <c r="F21" s="14">
        <v>17</v>
      </c>
      <c r="G21" s="14">
        <v>4444</v>
      </c>
      <c r="H21" s="14">
        <f t="shared" si="1"/>
        <v>75548</v>
      </c>
    </row>
    <row r="22" spans="1:8" x14ac:dyDescent="0.25">
      <c r="A22">
        <v>21</v>
      </c>
      <c r="B22" s="3">
        <v>40183</v>
      </c>
      <c r="C22" t="s">
        <v>11</v>
      </c>
      <c r="D22" t="s">
        <v>19</v>
      </c>
      <c r="E22" t="s">
        <v>22</v>
      </c>
      <c r="F22" s="14">
        <v>19</v>
      </c>
      <c r="G22" s="14">
        <v>3322</v>
      </c>
      <c r="H22" s="14">
        <f t="shared" si="1"/>
        <v>63118</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2:G21"/>
  <sheetViews>
    <sheetView showGridLines="0" workbookViewId="0"/>
  </sheetViews>
  <sheetFormatPr defaultRowHeight="15" x14ac:dyDescent="0.25"/>
  <cols>
    <col min="1" max="1" width="9.140625" style="1"/>
    <col min="2" max="2" width="7.85546875" bestFit="1" customWidth="1"/>
    <col min="3" max="4" width="9.5703125" bestFit="1" customWidth="1"/>
  </cols>
  <sheetData>
    <row r="2" spans="1:4" x14ac:dyDescent="0.25">
      <c r="B2" t="s">
        <v>25</v>
      </c>
    </row>
    <row r="3" spans="1:4" x14ac:dyDescent="0.25">
      <c r="B3" t="s">
        <v>26</v>
      </c>
    </row>
    <row r="4" spans="1:4" x14ac:dyDescent="0.25">
      <c r="B4" t="s">
        <v>27</v>
      </c>
    </row>
    <row r="5" spans="1:4" x14ac:dyDescent="0.25">
      <c r="B5" t="s">
        <v>28</v>
      </c>
    </row>
    <row r="6" spans="1:4" x14ac:dyDescent="0.25">
      <c r="B6" t="s">
        <v>35</v>
      </c>
    </row>
    <row r="7" spans="1:4" x14ac:dyDescent="0.25">
      <c r="B7" t="s">
        <v>36</v>
      </c>
    </row>
    <row r="8" spans="1:4" x14ac:dyDescent="0.25">
      <c r="B8" t="s">
        <v>37</v>
      </c>
    </row>
    <row r="9" spans="1:4" x14ac:dyDescent="0.25">
      <c r="B9" t="s">
        <v>29</v>
      </c>
    </row>
    <row r="10" spans="1:4" ht="15.75" x14ac:dyDescent="0.25">
      <c r="B10" s="6" t="s">
        <v>38</v>
      </c>
      <c r="C10" s="6"/>
    </row>
    <row r="11" spans="1:4" ht="15.75" x14ac:dyDescent="0.25">
      <c r="B11" s="6" t="s">
        <v>39</v>
      </c>
      <c r="C11" s="6"/>
    </row>
    <row r="12" spans="1:4" ht="15.75" x14ac:dyDescent="0.25">
      <c r="B12" s="6"/>
      <c r="C12" s="6"/>
    </row>
    <row r="13" spans="1:4" ht="15.75" x14ac:dyDescent="0.25">
      <c r="B13" s="10" t="s">
        <v>34</v>
      </c>
      <c r="C13" s="6"/>
    </row>
    <row r="15" spans="1:4" x14ac:dyDescent="0.25">
      <c r="A15" s="1">
        <v>1</v>
      </c>
      <c r="B15" s="7" t="s">
        <v>3</v>
      </c>
      <c r="C15" s="7" t="s">
        <v>23</v>
      </c>
      <c r="D15" s="8"/>
    </row>
    <row r="16" spans="1:4" x14ac:dyDescent="0.25">
      <c r="A16" s="1">
        <v>2</v>
      </c>
      <c r="B16" s="9" t="s">
        <v>1</v>
      </c>
      <c r="C16" s="7" t="s">
        <v>23</v>
      </c>
      <c r="D16" s="8"/>
    </row>
    <row r="17" spans="1:7" x14ac:dyDescent="0.25">
      <c r="A17" s="1">
        <v>3</v>
      </c>
      <c r="B17" s="7" t="s">
        <v>3</v>
      </c>
      <c r="C17" s="9" t="s">
        <v>1</v>
      </c>
      <c r="D17" s="7" t="s">
        <v>4</v>
      </c>
    </row>
    <row r="18" spans="1:7" x14ac:dyDescent="0.25">
      <c r="A18" s="1">
        <v>4</v>
      </c>
      <c r="B18" s="9" t="s">
        <v>0</v>
      </c>
      <c r="C18" s="7" t="s">
        <v>1</v>
      </c>
      <c r="D18" s="7" t="s">
        <v>23</v>
      </c>
      <c r="F18" s="5"/>
      <c r="G18" t="s">
        <v>30</v>
      </c>
    </row>
    <row r="21" spans="1:7" x14ac:dyDescent="0.25">
      <c r="A21" s="4" t="s">
        <v>24</v>
      </c>
      <c r="B21" t="s">
        <v>31</v>
      </c>
      <c r="C21" t="s">
        <v>32</v>
      </c>
      <c r="D21" t="s">
        <v>33</v>
      </c>
      <c r="E21" t="s">
        <v>2</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Dashboard</vt:lpstr>
      <vt:lpstr>RPT (4)</vt:lpstr>
      <vt:lpstr>RPT (3)</vt:lpstr>
      <vt:lpstr>RPT (2)</vt:lpstr>
      <vt:lpstr>RPT</vt:lpstr>
      <vt:lpstr>Data</vt:lpstr>
      <vt:lpstr>East</vt:lpstr>
      <vt:lpstr>West</vt:lpstr>
      <vt:lpstr>South</vt:lpstr>
      <vt:lpstr>North</vt:lpstr>
      <vt:lpstr>Info</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Ashok Sindkar</dc:creator>
  <cp:lastModifiedBy>Hrishin Roy</cp:lastModifiedBy>
  <dcterms:created xsi:type="dcterms:W3CDTF">2020-07-03T08:10:56Z</dcterms:created>
  <dcterms:modified xsi:type="dcterms:W3CDTF">2020-10-20T10:37:33Z</dcterms:modified>
</cp:coreProperties>
</file>